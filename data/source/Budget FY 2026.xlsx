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nitronics-my.sharepoint.com/personal/office365_omnitronics_onmicrosoft_com/Documents/Admin/Finance/Financial Modelling/Raw DATA/Raw Data for Consolidation/Budget 2026/"/>
    </mc:Choice>
  </mc:AlternateContent>
  <xr:revisionPtr revIDLastSave="1" documentId="8_{7A60EDDC-FDA8-41A1-9C11-1E45BA410022}" xr6:coauthVersionLast="47" xr6:coauthVersionMax="47" xr10:uidLastSave="{FA8C8A99-70F0-40DC-9224-096F024C6FF9}"/>
  <bookViews>
    <workbookView xWindow="-28920" yWindow="4905" windowWidth="29040" windowHeight="17640" xr2:uid="{E396AD23-541F-49C5-997B-02ED5B2B0080}"/>
  </bookViews>
  <sheets>
    <sheet name="Budget FY26" sheetId="1" r:id="rId1"/>
  </sheets>
  <externalReferences>
    <externalReference r:id="rId2"/>
  </externalReferences>
  <definedNames>
    <definedName name="_xlnm._FilterDatabase" localSheetId="0" hidden="1">'Budget FY26'!$B$3:$V$330</definedName>
    <definedName name="_Order1" hidden="1">255</definedName>
    <definedName name="_T_J" localSheetId="0" hidden="1">#REF!</definedName>
    <definedName name="_T_J" hidden="1">#REF!</definedName>
    <definedName name="_T2_Out" localSheetId="0" hidden="1">#REF!</definedName>
    <definedName name="_T2_Out" hidden="1">#REF!</definedName>
    <definedName name="_T2_Out2" localSheetId="0" hidden="1">#REF!</definedName>
    <definedName name="_T2_Out2" hidden="1">#REF!</definedName>
    <definedName name="_Table2_Out" localSheetId="0" hidden="1">#REF!</definedName>
    <definedName name="_Table2_Out" hidden="1">#REF!</definedName>
    <definedName name="_Table2_Out2" localSheetId="0" hidden="1">#REF!</definedName>
    <definedName name="_Table2_Out2" hidden="1">#REF!</definedName>
    <definedName name="_Twwer" localSheetId="0" hidden="1">#REF!</definedName>
    <definedName name="_Twwer" hidden="1">#REF!</definedName>
    <definedName name="Admin_Net_Profit" localSheetId="0">#REF!</definedName>
    <definedName name="Admin_Net_Profit">#REF!</definedName>
    <definedName name="APend" localSheetId="0">#REF!</definedName>
    <definedName name="APend">#REF!</definedName>
    <definedName name="APRIL" localSheetId="0">#REF!</definedName>
    <definedName name="APRIL">#REF!</definedName>
    <definedName name="AUGUST" localSheetId="0">#REF!</definedName>
    <definedName name="AUGUST">#REF!</definedName>
    <definedName name="Average_Support_Percentage_Paid" localSheetId="0">#REF!</definedName>
    <definedName name="Average_Support_Percentage_Paid">#REF!</definedName>
    <definedName name="BNE_MESSAGES_HIDDEN" localSheetId="0" hidden="1">#REF!</definedName>
    <definedName name="BNE_MESSAGES_HIDDEN" hidden="1">#REF!</definedName>
    <definedName name="Bonus_Percentage" localSheetId="0">#REF!</definedName>
    <definedName name="Bonus_Percentage">#REF!</definedName>
    <definedName name="bxdate_00056509">#REF!</definedName>
    <definedName name="bxdate_00056510">#REF!</definedName>
    <definedName name="bxdate_00056511">#REF!</definedName>
    <definedName name="bxdate_00056512">#REF!</definedName>
    <definedName name="bxdate_00056513">#REF!</definedName>
    <definedName name="bxdate_00056514">#REF!</definedName>
    <definedName name="bxdate_00056515">#REF!</definedName>
    <definedName name="bxdate_00056516">#REF!</definedName>
    <definedName name="bxdate_00056517">#REF!</definedName>
    <definedName name="bxdate_00056518">#REF!</definedName>
    <definedName name="bxdate_00056519">#REF!</definedName>
    <definedName name="bxdate_00056520">#REF!</definedName>
    <definedName name="bxdate_00056521" localSheetId="0">#REF!</definedName>
    <definedName name="bxdate_00056521">#REF!</definedName>
    <definedName name="bxdate_00056522" localSheetId="0">#REF!</definedName>
    <definedName name="bxdate_00056522">#REF!</definedName>
    <definedName name="bxdate_00056523" localSheetId="0">#REF!</definedName>
    <definedName name="bxdate_00056523">#REF!</definedName>
    <definedName name="bxdate_00056524" localSheetId="0">#REF!</definedName>
    <definedName name="bxdate_00056524">#REF!</definedName>
    <definedName name="bxdate_00056525" localSheetId="0">#REF!</definedName>
    <definedName name="bxdate_00056525">#REF!</definedName>
    <definedName name="bxdate_00056526" localSheetId="0">#REF!</definedName>
    <definedName name="bxdate_00056526">#REF!</definedName>
    <definedName name="bxdate_00056527" localSheetId="0">#REF!</definedName>
    <definedName name="bxdate_00056527">#REF!</definedName>
    <definedName name="bxdate_00056528" localSheetId="0">#REF!</definedName>
    <definedName name="bxdate_00056528">#REF!</definedName>
    <definedName name="bxdate_00056529" localSheetId="0">#REF!</definedName>
    <definedName name="bxdate_00056529">#REF!</definedName>
    <definedName name="bxdate_00056530" localSheetId="0">#REF!</definedName>
    <definedName name="bxdate_00056530">#REF!</definedName>
    <definedName name="bxdate_00056531" localSheetId="0">#REF!</definedName>
    <definedName name="bxdate_00056531">#REF!</definedName>
    <definedName name="bxdate_00056532" localSheetId="0">#REF!</definedName>
    <definedName name="bxdate_00056532">#REF!</definedName>
    <definedName name="bxdate_00056533">#REF!</definedName>
    <definedName name="bxdate_00056534">#REF!</definedName>
    <definedName name="bxdate_00056535">#REF!</definedName>
    <definedName name="bxdate_00056536">#REF!</definedName>
    <definedName name="bxdate_00056537">#REF!</definedName>
    <definedName name="bxdate_00056538">#REF!</definedName>
    <definedName name="bxdate_00056539">#REF!</definedName>
    <definedName name="bxdate_00056540">#REF!</definedName>
    <definedName name="bxdate_00056541">#REF!</definedName>
    <definedName name="bxdate_00056542">#REF!</definedName>
    <definedName name="bxdate_00056543">#REF!</definedName>
    <definedName name="bxdate_00056544">#REF!</definedName>
    <definedName name="bxdate_00056545" localSheetId="0">#REF!</definedName>
    <definedName name="bxdate_00056545">#REF!</definedName>
    <definedName name="bxdate_00056546" localSheetId="0">#REF!</definedName>
    <definedName name="bxdate_00056546">#REF!</definedName>
    <definedName name="bxdate_00056547" localSheetId="0">#REF!</definedName>
    <definedName name="bxdate_00056547">#REF!</definedName>
    <definedName name="bxdate_00056548" localSheetId="0">#REF!</definedName>
    <definedName name="bxdate_00056548">#REF!</definedName>
    <definedName name="bxdate_00056549" localSheetId="0">#REF!</definedName>
    <definedName name="bxdate_00056549">#REF!</definedName>
    <definedName name="bxdate_00056550" localSheetId="0">#REF!</definedName>
    <definedName name="bxdate_00056550">#REF!</definedName>
    <definedName name="bxdate_00056551" localSheetId="0">#REF!</definedName>
    <definedName name="bxdate_00056551">#REF!</definedName>
    <definedName name="bxdate_00056552" localSheetId="0">#REF!</definedName>
    <definedName name="bxdate_00056552">#REF!</definedName>
    <definedName name="bxdate_00056553" localSheetId="0">#REF!</definedName>
    <definedName name="bxdate_00056553">#REF!</definedName>
    <definedName name="bxdate_00056554" localSheetId="0">#REF!</definedName>
    <definedName name="bxdate_00056554">#REF!</definedName>
    <definedName name="bxdate_00056555" localSheetId="0">#REF!</definedName>
    <definedName name="bxdate_00056555">#REF!</definedName>
    <definedName name="bxdate_00056556" localSheetId="0">#REF!</definedName>
    <definedName name="bxdate_00056556">#REF!</definedName>
    <definedName name="bxdimension_14710">#REF!</definedName>
    <definedName name="bxdimension_14711" localSheetId="0">#REF!</definedName>
    <definedName name="bxdimension_14711">#REF!</definedName>
    <definedName name="bxdimension_14712">#REF!</definedName>
    <definedName name="bxdimension_14713" localSheetId="0">#REF!</definedName>
    <definedName name="bxdimension_14713">#REF!</definedName>
    <definedName name="bxmetrics_00056509">#REF!</definedName>
    <definedName name="bxmetrics_00056510">#REF!</definedName>
    <definedName name="bxmetrics_00056511">#REF!</definedName>
    <definedName name="bxmetrics_00056512">#REF!</definedName>
    <definedName name="bxmetrics_00056513">#REF!</definedName>
    <definedName name="bxmetrics_00056514">#REF!</definedName>
    <definedName name="bxmetrics_00056515">#REF!</definedName>
    <definedName name="bxmetrics_00056516">#REF!</definedName>
    <definedName name="bxmetrics_00056517">#REF!</definedName>
    <definedName name="bxmetrics_00056518">#REF!</definedName>
    <definedName name="bxmetrics_00056519">#REF!</definedName>
    <definedName name="bxmetrics_00056520">#REF!</definedName>
    <definedName name="bxmetrics_00056521" localSheetId="0">#REF!</definedName>
    <definedName name="bxmetrics_00056521">#REF!</definedName>
    <definedName name="bxmetrics_00056522" localSheetId="0">#REF!</definedName>
    <definedName name="bxmetrics_00056522">#REF!</definedName>
    <definedName name="bxmetrics_00056523" localSheetId="0">#REF!</definedName>
    <definedName name="bxmetrics_00056523">#REF!</definedName>
    <definedName name="bxmetrics_00056524" localSheetId="0">#REF!</definedName>
    <definedName name="bxmetrics_00056524">#REF!</definedName>
    <definedName name="bxmetrics_00056525" localSheetId="0">#REF!</definedName>
    <definedName name="bxmetrics_00056525">#REF!</definedName>
    <definedName name="bxmetrics_00056526" localSheetId="0">#REF!</definedName>
    <definedName name="bxmetrics_00056526">#REF!</definedName>
    <definedName name="bxmetrics_00056527" localSheetId="0">#REF!</definedName>
    <definedName name="bxmetrics_00056527">#REF!</definedName>
    <definedName name="bxmetrics_00056528" localSheetId="0">#REF!</definedName>
    <definedName name="bxmetrics_00056528">#REF!</definedName>
    <definedName name="bxmetrics_00056529" localSheetId="0">#REF!</definedName>
    <definedName name="bxmetrics_00056529">#REF!</definedName>
    <definedName name="bxmetrics_00056530" localSheetId="0">#REF!</definedName>
    <definedName name="bxmetrics_00056530">#REF!</definedName>
    <definedName name="bxmetrics_00056531" localSheetId="0">#REF!</definedName>
    <definedName name="bxmetrics_00056531">#REF!</definedName>
    <definedName name="bxmetrics_00056532" localSheetId="0">#REF!</definedName>
    <definedName name="bxmetrics_00056532">#REF!</definedName>
    <definedName name="bxmetrics_00056533">#REF!</definedName>
    <definedName name="bxmetrics_00056534">#REF!</definedName>
    <definedName name="bxmetrics_00056535">#REF!</definedName>
    <definedName name="bxmetrics_00056536">#REF!</definedName>
    <definedName name="bxmetrics_00056537">#REF!</definedName>
    <definedName name="bxmetrics_00056538">#REF!</definedName>
    <definedName name="bxmetrics_00056539">#REF!</definedName>
    <definedName name="bxmetrics_00056540">#REF!</definedName>
    <definedName name="bxmetrics_00056541">#REF!</definedName>
    <definedName name="bxmetrics_00056542">#REF!</definedName>
    <definedName name="bxmetrics_00056543">#REF!</definedName>
    <definedName name="bxmetrics_00056544">#REF!</definedName>
    <definedName name="bxmetrics_00056545" localSheetId="0">#REF!</definedName>
    <definedName name="bxmetrics_00056545">#REF!</definedName>
    <definedName name="bxmetrics_00056546" localSheetId="0">#REF!</definedName>
    <definedName name="bxmetrics_00056546">#REF!</definedName>
    <definedName name="bxmetrics_00056547" localSheetId="0">#REF!</definedName>
    <definedName name="bxmetrics_00056547">#REF!</definedName>
    <definedName name="bxmetrics_00056548" localSheetId="0">#REF!</definedName>
    <definedName name="bxmetrics_00056548">#REF!</definedName>
    <definedName name="bxmetrics_00056549" localSheetId="0">#REF!</definedName>
    <definedName name="bxmetrics_00056549">#REF!</definedName>
    <definedName name="bxmetrics_00056550" localSheetId="0">#REF!</definedName>
    <definedName name="bxmetrics_00056550">#REF!</definedName>
    <definedName name="bxmetrics_00056551" localSheetId="0">#REF!</definedName>
    <definedName name="bxmetrics_00056551">#REF!</definedName>
    <definedName name="bxmetrics_00056552" localSheetId="0">#REF!</definedName>
    <definedName name="bxmetrics_00056552">#REF!</definedName>
    <definedName name="bxmetrics_00056553" localSheetId="0">#REF!</definedName>
    <definedName name="bxmetrics_00056553">#REF!</definedName>
    <definedName name="bxmetrics_00056554" localSheetId="0">#REF!</definedName>
    <definedName name="bxmetrics_00056554">#REF!</definedName>
    <definedName name="bxmetrics_00056555" localSheetId="0">#REF!</definedName>
    <definedName name="bxmetrics_00056555">#REF!</definedName>
    <definedName name="bxmetrics_00056556" localSheetId="0">#REF!</definedName>
    <definedName name="bxmetrics_00056556">#REF!</definedName>
    <definedName name="bxrangename_00056509">#REF!</definedName>
    <definedName name="bxrangename_00056510">#REF!</definedName>
    <definedName name="bxrangename_00056511">#REF!</definedName>
    <definedName name="bxrangename_00056512">#REF!</definedName>
    <definedName name="bxrangename_00056513">#REF!</definedName>
    <definedName name="bxrangename_00056514">#REF!</definedName>
    <definedName name="bxrangename_00056515">#REF!</definedName>
    <definedName name="bxrangename_00056516">#REF!</definedName>
    <definedName name="bxrangename_00056517">#REF!</definedName>
    <definedName name="bxrangename_00056518">#REF!</definedName>
    <definedName name="bxrangename_00056519">#REF!</definedName>
    <definedName name="bxrangename_00056520">#REF!</definedName>
    <definedName name="bxrangename_00056521" localSheetId="0">#REF!</definedName>
    <definedName name="bxrangename_00056521">#REF!</definedName>
    <definedName name="bxrangename_00056522" localSheetId="0">#REF!</definedName>
    <definedName name="bxrangename_00056522">#REF!</definedName>
    <definedName name="bxrangename_00056523" localSheetId="0">#REF!</definedName>
    <definedName name="bxrangename_00056523">#REF!</definedName>
    <definedName name="bxrangename_00056524" localSheetId="0">#REF!</definedName>
    <definedName name="bxrangename_00056524">#REF!</definedName>
    <definedName name="bxrangename_00056525" localSheetId="0">#REF!</definedName>
    <definedName name="bxrangename_00056525">#REF!</definedName>
    <definedName name="bxrangename_00056526" localSheetId="0">#REF!</definedName>
    <definedName name="bxrangename_00056526">#REF!</definedName>
    <definedName name="bxrangename_00056527" localSheetId="0">#REF!</definedName>
    <definedName name="bxrangename_00056527">#REF!</definedName>
    <definedName name="bxrangename_00056528" localSheetId="0">#REF!</definedName>
    <definedName name="bxrangename_00056528">#REF!</definedName>
    <definedName name="bxrangename_00056529" localSheetId="0">#REF!</definedName>
    <definedName name="bxrangename_00056529">#REF!</definedName>
    <definedName name="bxrangename_00056530" localSheetId="0">#REF!</definedName>
    <definedName name="bxrangename_00056530">#REF!</definedName>
    <definedName name="bxrangename_00056531" localSheetId="0">#REF!</definedName>
    <definedName name="bxrangename_00056531">#REF!</definedName>
    <definedName name="bxrangename_00056532" localSheetId="0">#REF!</definedName>
    <definedName name="bxrangename_00056532">#REF!</definedName>
    <definedName name="bxrangename_00056533">#REF!</definedName>
    <definedName name="bxrangename_00056534">#REF!</definedName>
    <definedName name="bxrangename_00056535">#REF!</definedName>
    <definedName name="bxrangename_00056536">#REF!</definedName>
    <definedName name="bxrangename_00056537">#REF!</definedName>
    <definedName name="bxrangename_00056538">#REF!</definedName>
    <definedName name="bxrangename_00056539">#REF!</definedName>
    <definedName name="bxrangename_00056540">#REF!</definedName>
    <definedName name="bxrangename_00056541">#REF!</definedName>
    <definedName name="bxrangename_00056542">#REF!</definedName>
    <definedName name="bxrangename_00056543">#REF!</definedName>
    <definedName name="bxrangename_00056544">#REF!</definedName>
    <definedName name="bxrangename_00056545" localSheetId="0">#REF!</definedName>
    <definedName name="bxrangename_00056545">#REF!</definedName>
    <definedName name="bxrangename_00056546" localSheetId="0">#REF!</definedName>
    <definedName name="bxrangename_00056546">#REF!</definedName>
    <definedName name="bxrangename_00056547" localSheetId="0">#REF!</definedName>
    <definedName name="bxrangename_00056547">#REF!</definedName>
    <definedName name="bxrangename_00056548" localSheetId="0">#REF!</definedName>
    <definedName name="bxrangename_00056548">#REF!</definedName>
    <definedName name="bxrangename_00056549" localSheetId="0">#REF!</definedName>
    <definedName name="bxrangename_00056549">#REF!</definedName>
    <definedName name="bxrangename_00056550" localSheetId="0">#REF!</definedName>
    <definedName name="bxrangename_00056550">#REF!</definedName>
    <definedName name="bxrangename_00056551" localSheetId="0">#REF!</definedName>
    <definedName name="bxrangename_00056551">#REF!</definedName>
    <definedName name="bxrangename_00056552" localSheetId="0">#REF!</definedName>
    <definedName name="bxrangename_00056552">#REF!</definedName>
    <definedName name="bxrangename_00056553" localSheetId="0">#REF!</definedName>
    <definedName name="bxrangename_00056553">#REF!</definedName>
    <definedName name="bxrangename_00056554" localSheetId="0">#REF!</definedName>
    <definedName name="bxrangename_00056554">#REF!</definedName>
    <definedName name="bxrangename_00056555" localSheetId="0">#REF!</definedName>
    <definedName name="bxrangename_00056555">#REF!</definedName>
    <definedName name="bxrangename_00056556" localSheetId="0">#REF!</definedName>
    <definedName name="bxrangename_00056556">#REF!</definedName>
    <definedName name="bxtemplatename_00056509">#REF!</definedName>
    <definedName name="bxtemplatename_00056510">#REF!</definedName>
    <definedName name="bxtemplatename_00056511">#REF!</definedName>
    <definedName name="bxtemplatename_00056512">#REF!</definedName>
    <definedName name="bxtemplatename_00056513">#REF!</definedName>
    <definedName name="bxtemplatename_00056514">#REF!</definedName>
    <definedName name="bxtemplatename_00056515">#REF!</definedName>
    <definedName name="bxtemplatename_00056516">#REF!</definedName>
    <definedName name="bxtemplatename_00056517">#REF!</definedName>
    <definedName name="bxtemplatename_00056518">#REF!</definedName>
    <definedName name="bxtemplatename_00056519">#REF!</definedName>
    <definedName name="bxtemplatename_00056520">#REF!</definedName>
    <definedName name="bxtemplatename_00056521" localSheetId="0">#REF!</definedName>
    <definedName name="bxtemplatename_00056521">#REF!</definedName>
    <definedName name="bxtemplatename_00056522" localSheetId="0">#REF!</definedName>
    <definedName name="bxtemplatename_00056522">#REF!</definedName>
    <definedName name="bxtemplatename_00056523" localSheetId="0">#REF!</definedName>
    <definedName name="bxtemplatename_00056523">#REF!</definedName>
    <definedName name="bxtemplatename_00056524" localSheetId="0">#REF!</definedName>
    <definedName name="bxtemplatename_00056524">#REF!</definedName>
    <definedName name="bxtemplatename_00056525" localSheetId="0">#REF!</definedName>
    <definedName name="bxtemplatename_00056525">#REF!</definedName>
    <definedName name="bxtemplatename_00056526" localSheetId="0">#REF!</definedName>
    <definedName name="bxtemplatename_00056526">#REF!</definedName>
    <definedName name="bxtemplatename_00056527" localSheetId="0">#REF!</definedName>
    <definedName name="bxtemplatename_00056527">#REF!</definedName>
    <definedName name="bxtemplatename_00056528" localSheetId="0">#REF!</definedName>
    <definedName name="bxtemplatename_00056528">#REF!</definedName>
    <definedName name="bxtemplatename_00056529" localSheetId="0">#REF!</definedName>
    <definedName name="bxtemplatename_00056529">#REF!</definedName>
    <definedName name="bxtemplatename_00056530" localSheetId="0">#REF!</definedName>
    <definedName name="bxtemplatename_00056530">#REF!</definedName>
    <definedName name="bxtemplatename_00056531" localSheetId="0">#REF!</definedName>
    <definedName name="bxtemplatename_00056531">#REF!</definedName>
    <definedName name="bxtemplatename_00056532" localSheetId="0">#REF!</definedName>
    <definedName name="bxtemplatename_00056532">#REF!</definedName>
    <definedName name="bxtemplatename_00056533">#REF!</definedName>
    <definedName name="bxtemplatename_00056534">#REF!</definedName>
    <definedName name="bxtemplatename_00056535">#REF!</definedName>
    <definedName name="bxtemplatename_00056536">#REF!</definedName>
    <definedName name="bxtemplatename_00056537">#REF!</definedName>
    <definedName name="bxtemplatename_00056538">#REF!</definedName>
    <definedName name="bxtemplatename_00056539">#REF!</definedName>
    <definedName name="bxtemplatename_00056540">#REF!</definedName>
    <definedName name="bxtemplatename_00056541">#REF!</definedName>
    <definedName name="bxtemplatename_00056542">#REF!</definedName>
    <definedName name="bxtemplatename_00056543">#REF!</definedName>
    <definedName name="bxtemplatename_00056544">#REF!</definedName>
    <definedName name="bxtemplatename_00056545" localSheetId="0">#REF!</definedName>
    <definedName name="bxtemplatename_00056545">#REF!</definedName>
    <definedName name="bxtemplatename_00056546" localSheetId="0">#REF!</definedName>
    <definedName name="bxtemplatename_00056546">#REF!</definedName>
    <definedName name="bxtemplatename_00056547" localSheetId="0">#REF!</definedName>
    <definedName name="bxtemplatename_00056547">#REF!</definedName>
    <definedName name="bxtemplatename_00056548" localSheetId="0">#REF!</definedName>
    <definedName name="bxtemplatename_00056548">#REF!</definedName>
    <definedName name="bxtemplatename_00056549" localSheetId="0">#REF!</definedName>
    <definedName name="bxtemplatename_00056549">#REF!</definedName>
    <definedName name="bxtemplatename_00056550" localSheetId="0">#REF!</definedName>
    <definedName name="bxtemplatename_00056550">#REF!</definedName>
    <definedName name="bxtemplatename_00056551" localSheetId="0">#REF!</definedName>
    <definedName name="bxtemplatename_00056551">#REF!</definedName>
    <definedName name="bxtemplatename_00056552" localSheetId="0">#REF!</definedName>
    <definedName name="bxtemplatename_00056552">#REF!</definedName>
    <definedName name="bxtemplatename_00056553" localSheetId="0">#REF!</definedName>
    <definedName name="bxtemplatename_00056553">#REF!</definedName>
    <definedName name="bxtemplatename_00056554" localSheetId="0">#REF!</definedName>
    <definedName name="bxtemplatename_00056554">#REF!</definedName>
    <definedName name="bxtemplatename_00056555" localSheetId="0">#REF!</definedName>
    <definedName name="bxtemplatename_00056555">#REF!</definedName>
    <definedName name="bxtemplatename_00056556" localSheetId="0">#REF!</definedName>
    <definedName name="bxtemplatename_00056556">#REF!</definedName>
    <definedName name="bxvalues_00056509_dm14710">#REF!</definedName>
    <definedName name="bxvalues_00056510_dm14710">#REF!</definedName>
    <definedName name="bxvalues_00056511_dm14710">#REF!</definedName>
    <definedName name="bxvalues_00056512_dm14710">#REF!</definedName>
    <definedName name="bxvalues_00056513_dm14710">#REF!</definedName>
    <definedName name="bxvalues_00056514_dm14710">#REF!</definedName>
    <definedName name="bxvalues_00056515_dm14710">#REF!</definedName>
    <definedName name="bxvalues_00056516_dm14710">#REF!</definedName>
    <definedName name="bxvalues_00056517_dm14710">#REF!</definedName>
    <definedName name="bxvalues_00056518_dm14710">#REF!</definedName>
    <definedName name="bxvalues_00056519_dm14710">#REF!</definedName>
    <definedName name="bxvalues_00056520_dm14710">#REF!</definedName>
    <definedName name="bxvalues_00056521_dm14711" localSheetId="0">#REF!</definedName>
    <definedName name="bxvalues_00056521_dm14711">#REF!</definedName>
    <definedName name="bxvalues_00056522_dm14711" localSheetId="0">#REF!</definedName>
    <definedName name="bxvalues_00056522_dm14711">#REF!</definedName>
    <definedName name="bxvalues_00056523_dm14711" localSheetId="0">#REF!</definedName>
    <definedName name="bxvalues_00056523_dm14711">#REF!</definedName>
    <definedName name="bxvalues_00056524_dm14711" localSheetId="0">#REF!</definedName>
    <definedName name="bxvalues_00056524_dm14711">#REF!</definedName>
    <definedName name="bxvalues_00056525_dm14711" localSheetId="0">#REF!</definedName>
    <definedName name="bxvalues_00056525_dm14711">#REF!</definedName>
    <definedName name="bxvalues_00056526_dm14711" localSheetId="0">#REF!</definedName>
    <definedName name="bxvalues_00056526_dm14711">#REF!</definedName>
    <definedName name="bxvalues_00056527_dm14711" localSheetId="0">#REF!</definedName>
    <definedName name="bxvalues_00056527_dm14711">#REF!</definedName>
    <definedName name="bxvalues_00056528_dm14711" localSheetId="0">#REF!</definedName>
    <definedName name="bxvalues_00056528_dm14711">#REF!</definedName>
    <definedName name="bxvalues_00056529_dm14711" localSheetId="0">#REF!</definedName>
    <definedName name="bxvalues_00056529_dm14711">#REF!</definedName>
    <definedName name="bxvalues_00056530_dm14711" localSheetId="0">#REF!</definedName>
    <definedName name="bxvalues_00056530_dm14711">#REF!</definedName>
    <definedName name="bxvalues_00056531_dm14711" localSheetId="0">#REF!</definedName>
    <definedName name="bxvalues_00056531_dm14711">#REF!</definedName>
    <definedName name="bxvalues_00056532_dm14711" localSheetId="0">#REF!</definedName>
    <definedName name="bxvalues_00056532_dm14711">#REF!</definedName>
    <definedName name="bxvalues_00056533_dm14712">#REF!</definedName>
    <definedName name="bxvalues_00056534_dm14712">#REF!</definedName>
    <definedName name="bxvalues_00056535_dm14712">#REF!</definedName>
    <definedName name="bxvalues_00056536_dm14712">#REF!</definedName>
    <definedName name="bxvalues_00056537_dm14712">#REF!</definedName>
    <definedName name="bxvalues_00056538_dm14712">#REF!</definedName>
    <definedName name="bxvalues_00056539_dm14712">#REF!</definedName>
    <definedName name="bxvalues_00056540_dm14712">#REF!</definedName>
    <definedName name="bxvalues_00056541_dm14712">#REF!</definedName>
    <definedName name="bxvalues_00056542_dm14712">#REF!</definedName>
    <definedName name="bxvalues_00056543_dm14712">#REF!</definedName>
    <definedName name="bxvalues_00056544_dm14712">#REF!</definedName>
    <definedName name="bxvalues_00056545_dm14713" localSheetId="0">#REF!</definedName>
    <definedName name="bxvalues_00056545_dm14713">#REF!</definedName>
    <definedName name="bxvalues_00056546_dm14713" localSheetId="0">#REF!</definedName>
    <definedName name="bxvalues_00056546_dm14713">#REF!</definedName>
    <definedName name="bxvalues_00056547_dm14713" localSheetId="0">#REF!</definedName>
    <definedName name="bxvalues_00056547_dm14713">#REF!</definedName>
    <definedName name="bxvalues_00056548_dm14713" localSheetId="0">#REF!</definedName>
    <definedName name="bxvalues_00056548_dm14713">#REF!</definedName>
    <definedName name="bxvalues_00056549_dm14713" localSheetId="0">#REF!</definedName>
    <definedName name="bxvalues_00056549_dm14713">#REF!</definedName>
    <definedName name="bxvalues_00056550_dm14713" localSheetId="0">#REF!</definedName>
    <definedName name="bxvalues_00056550_dm14713">#REF!</definedName>
    <definedName name="bxvalues_00056551_dm14713" localSheetId="0">#REF!</definedName>
    <definedName name="bxvalues_00056551_dm14713">#REF!</definedName>
    <definedName name="bxvalues_00056552_dm14713" localSheetId="0">#REF!</definedName>
    <definedName name="bxvalues_00056552_dm14713">#REF!</definedName>
    <definedName name="bxvalues_00056553_dm14713" localSheetId="0">#REF!</definedName>
    <definedName name="bxvalues_00056553_dm14713">#REF!</definedName>
    <definedName name="bxvalues_00056554_dm14713" localSheetId="0">#REF!</definedName>
    <definedName name="bxvalues_00056554_dm14713">#REF!</definedName>
    <definedName name="bxvalues_00056555_dm14713" localSheetId="0">#REF!</definedName>
    <definedName name="bxvalues_00056555_dm14713">#REF!</definedName>
    <definedName name="bxvalues_00056556_dm14713" localSheetId="0">#REF!</definedName>
    <definedName name="bxvalues_00056556_dm14713">#REF!</definedName>
    <definedName name="Clientname" localSheetId="0">#REF!</definedName>
    <definedName name="Clientname">#REF!</definedName>
    <definedName name="CTRATE" localSheetId="0">#REF!</definedName>
    <definedName name="CTRATE">#REF!</definedName>
    <definedName name="DECEMBER" localSheetId="0">#REF!</definedName>
    <definedName name="DECEMBER">#REF!</definedName>
    <definedName name="fasdrhyaeh" localSheetId="0" hidden="1">#REF!</definedName>
    <definedName name="fasdrhyaeh" hidden="1">#REF!</definedName>
    <definedName name="FEBRUARY" localSheetId="0">#REF!</definedName>
    <definedName name="FEBRUARY">#REF!</definedName>
    <definedName name="hjk" localSheetId="0" hidden="1">#REF!</definedName>
    <definedName name="hjk" hidden="1">#REF!</definedName>
    <definedName name="HTML_CodePage" hidden="1">1252</definedName>
    <definedName name="HTML_Description" hidden="1">""</definedName>
    <definedName name="HTML_Email" hidden="1">""</definedName>
    <definedName name="HTML_Header" hidden="1">"RCIM"</definedName>
    <definedName name="HTML_LastUpdate" hidden="1">"10/6/98"</definedName>
    <definedName name="HTML_LineAfter" hidden="1">FALSE</definedName>
    <definedName name="HTML_LineBefore" hidden="1">FALSE</definedName>
    <definedName name="HTML_Name" hidden="1">"Jill Smith"</definedName>
    <definedName name="HTML_OBDlg2" hidden="1">TRUE</definedName>
    <definedName name="HTML_OBDlg4" hidden="1">TRUE</definedName>
    <definedName name="HTML_OS" hidden="1">0</definedName>
    <definedName name="HTML_PathFile" hidden="1">"C:\My Documents\excel\99 Capital\Budget\International\MyHTML.htm"</definedName>
    <definedName name="HTML_Title" hidden="1">"World - Preliminary"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"04/14/2020 04:10:19"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ANUARY" localSheetId="0">#REF!</definedName>
    <definedName name="JANUARY">#REF!</definedName>
    <definedName name="jksdfajkl" localSheetId="0" hidden="1">#REF!</definedName>
    <definedName name="jksdfajkl" hidden="1">#REF!</definedName>
    <definedName name="JULY" localSheetId="0">#REF!</definedName>
    <definedName name="JULY">#REF!</definedName>
    <definedName name="JUNE" localSheetId="0">#REF!</definedName>
    <definedName name="JUNE">#REF!</definedName>
    <definedName name="k">1000</definedName>
    <definedName name="Local_Rate" localSheetId="0">#REF!</definedName>
    <definedName name="Local_Rate">#REF!</definedName>
    <definedName name="MARCH" localSheetId="0">#REF!</definedName>
    <definedName name="MARCH">#REF!</definedName>
    <definedName name="MAY" localSheetId="0">#REF!</definedName>
    <definedName name="MAY">#REF!</definedName>
    <definedName name="New" localSheetId="0">#REF!</definedName>
    <definedName name="New">#REF!</definedName>
    <definedName name="NOVEMBER" localSheetId="0">#REF!</definedName>
    <definedName name="NOVEMBER">#REF!</definedName>
    <definedName name="OCTOBER" localSheetId="0">#REF!</definedName>
    <definedName name="OCTOBER">#REF!</definedName>
    <definedName name="OS_Rate" localSheetId="0">#REF!</definedName>
    <definedName name="OS_Rate">#REF!</definedName>
    <definedName name="Payroll_Tax" localSheetId="0">#REF!</definedName>
    <definedName name="Payroll_Tax">#REF!</definedName>
    <definedName name="PL" localSheetId="0">#REF!</definedName>
    <definedName name="PL">#REF!</definedName>
    <definedName name="Preparer" localSheetId="0">#REF!</definedName>
    <definedName name="Preparer">#REF!</definedName>
    <definedName name="Programming_Net_Profit" localSheetId="0">#REF!</definedName>
    <definedName name="Programming_Net_Profit">#REF!</definedName>
    <definedName name="Sales_and_Marketing_Adjust" localSheetId="0">#REF!</definedName>
    <definedName name="Sales_and_Marketing_Adjust">#REF!</definedName>
    <definedName name="Sales_Net_Profit" localSheetId="0">#REF!</definedName>
    <definedName name="Sales_Net_Profit">#REF!</definedName>
    <definedName name="SEPTEMBER" localSheetId="0">#REF!</definedName>
    <definedName name="SEPTEMBER">#REF!</definedName>
    <definedName name="SHEET" localSheetId="0">#REF!:INDEX(#REF!,COUNTIF(#REF!,"?*"))</definedName>
    <definedName name="SHEET">#REF!:INDEX(#REF!,COUNTIF(#REF!,"?*"))</definedName>
    <definedName name="sundry" localSheetId="0">#REF!</definedName>
    <definedName name="sundry">#REF!</definedName>
    <definedName name="Superannuation" localSheetId="0">#REF!</definedName>
    <definedName name="Superannuation">#REF!</definedName>
    <definedName name="Support_Net_Profit" localSheetId="0">#REF!</definedName>
    <definedName name="Support_Net_Profit">#REF!</definedName>
    <definedName name="Support_Rev_Adjust" localSheetId="0">#REF!</definedName>
    <definedName name="Support_Rev_Adjust">#REF!</definedName>
    <definedName name="SY_Percentage" localSheetId="0">#REF!</definedName>
    <definedName name="SY_Percentage">#REF!</definedName>
    <definedName name="SystemAdmin_Net_Profit" localSheetId="0">#REF!</definedName>
    <definedName name="SystemAdmin_Net_Profit">#REF!</definedName>
    <definedName name="TAM_Percentage" localSheetId="0">#REF!</definedName>
    <definedName name="TAM_Percentage">#REF!</definedName>
    <definedName name="TB_Percentage" localSheetId="0">#REF!</definedName>
    <definedName name="TB_Percentage">#REF!</definedName>
    <definedName name="TM_Percentage" localSheetId="0">#REF!</definedName>
    <definedName name="TM_Percentage">#REF!</definedName>
    <definedName name="WH_Percentage" localSheetId="0">#REF!</definedName>
    <definedName name="WH_Percentage">#REF!</definedName>
    <definedName name="Workers_comp" localSheetId="0">#REF!</definedName>
    <definedName name="Workers_com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7" i="1" l="1"/>
  <c r="E526" i="1"/>
  <c r="E525" i="1"/>
  <c r="E524" i="1"/>
  <c r="E523" i="1"/>
  <c r="E522" i="1"/>
  <c r="E521" i="1"/>
  <c r="E518" i="1"/>
  <c r="Q517" i="1"/>
  <c r="Q534" i="1" s="1"/>
  <c r="P517" i="1"/>
  <c r="P534" i="1" s="1"/>
  <c r="O517" i="1"/>
  <c r="O534" i="1" s="1"/>
  <c r="N517" i="1"/>
  <c r="N534" i="1" s="1"/>
  <c r="M517" i="1"/>
  <c r="M534" i="1" s="1"/>
  <c r="L517" i="1"/>
  <c r="L534" i="1" s="1"/>
  <c r="K517" i="1"/>
  <c r="K534" i="1" s="1"/>
  <c r="J517" i="1"/>
  <c r="J534" i="1" s="1"/>
  <c r="I517" i="1"/>
  <c r="I534" i="1" s="1"/>
  <c r="H517" i="1"/>
  <c r="H534" i="1" s="1"/>
  <c r="G517" i="1"/>
  <c r="G534" i="1" s="1"/>
  <c r="F517" i="1"/>
  <c r="F534" i="1" s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339" i="1"/>
  <c r="D330" i="1"/>
  <c r="D329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D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D314" i="1"/>
  <c r="E313" i="1"/>
  <c r="E312" i="1"/>
  <c r="E311" i="1"/>
  <c r="E310" i="1"/>
  <c r="D309" i="1"/>
  <c r="Q308" i="1"/>
  <c r="P308" i="1"/>
  <c r="O308" i="1"/>
  <c r="O329" i="1" s="1"/>
  <c r="N308" i="1"/>
  <c r="N329" i="1" s="1"/>
  <c r="M308" i="1"/>
  <c r="L308" i="1"/>
  <c r="K308" i="1"/>
  <c r="J308" i="1"/>
  <c r="I308" i="1"/>
  <c r="H308" i="1"/>
  <c r="G308" i="1"/>
  <c r="F308" i="1"/>
  <c r="D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D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D115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D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Q43" i="1"/>
  <c r="P43" i="1"/>
  <c r="O43" i="1"/>
  <c r="N43" i="1"/>
  <c r="M43" i="1"/>
  <c r="L43" i="1"/>
  <c r="K43" i="1"/>
  <c r="J43" i="1"/>
  <c r="I43" i="1"/>
  <c r="H43" i="1"/>
  <c r="G43" i="1"/>
  <c r="F43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F2" i="1"/>
  <c r="G329" i="1" l="1"/>
  <c r="K329" i="1"/>
  <c r="F329" i="1"/>
  <c r="I329" i="1"/>
  <c r="I330" i="1" s="1"/>
  <c r="Q329" i="1"/>
  <c r="Q330" i="1" s="1"/>
  <c r="H329" i="1"/>
  <c r="H330" i="1" s="1"/>
  <c r="J329" i="1"/>
  <c r="J330" i="1" s="1"/>
  <c r="M329" i="1"/>
  <c r="M330" i="1" s="1"/>
  <c r="Q537" i="1"/>
  <c r="O330" i="1"/>
  <c r="I537" i="1"/>
  <c r="M537" i="1"/>
  <c r="K537" i="1"/>
  <c r="N537" i="1"/>
  <c r="F115" i="1"/>
  <c r="F309" i="1" s="1"/>
  <c r="O115" i="1"/>
  <c r="O338" i="1" s="1"/>
  <c r="O340" i="1" s="1"/>
  <c r="F537" i="1"/>
  <c r="F330" i="1"/>
  <c r="P329" i="1"/>
  <c r="P330" i="1" s="1"/>
  <c r="G537" i="1"/>
  <c r="H537" i="1"/>
  <c r="J537" i="1"/>
  <c r="L537" i="1"/>
  <c r="E43" i="1"/>
  <c r="L329" i="1"/>
  <c r="L330" i="1" s="1"/>
  <c r="O537" i="1"/>
  <c r="P537" i="1"/>
  <c r="P115" i="1"/>
  <c r="Q115" i="1"/>
  <c r="G330" i="1"/>
  <c r="G115" i="1"/>
  <c r="H115" i="1"/>
  <c r="E114" i="1"/>
  <c r="L115" i="1"/>
  <c r="M115" i="1"/>
  <c r="N330" i="1"/>
  <c r="J115" i="1"/>
  <c r="N115" i="1"/>
  <c r="E308" i="1"/>
  <c r="K330" i="1"/>
  <c r="K115" i="1"/>
  <c r="I115" i="1"/>
  <c r="E328" i="1"/>
  <c r="O309" i="1" l="1"/>
  <c r="E115" i="1"/>
  <c r="F338" i="1"/>
  <c r="F340" i="1" s="1"/>
  <c r="G338" i="1"/>
  <c r="G340" i="1" s="1"/>
  <c r="G309" i="1"/>
  <c r="E329" i="1"/>
  <c r="J338" i="1"/>
  <c r="J340" i="1" s="1"/>
  <c r="J309" i="1"/>
  <c r="M309" i="1"/>
  <c r="M338" i="1"/>
  <c r="M340" i="1" s="1"/>
  <c r="K338" i="1"/>
  <c r="K340" i="1" s="1"/>
  <c r="K309" i="1"/>
  <c r="I338" i="1"/>
  <c r="I340" i="1" s="1"/>
  <c r="I309" i="1"/>
  <c r="L309" i="1"/>
  <c r="L338" i="1"/>
  <c r="L340" i="1" s="1"/>
  <c r="E309" i="1"/>
  <c r="Q338" i="1"/>
  <c r="Q340" i="1" s="1"/>
  <c r="Q309" i="1"/>
  <c r="P338" i="1"/>
  <c r="P340" i="1" s="1"/>
  <c r="P309" i="1"/>
  <c r="H338" i="1"/>
  <c r="H340" i="1" s="1"/>
  <c r="H309" i="1"/>
  <c r="N309" i="1"/>
  <c r="N338" i="1"/>
  <c r="N340" i="1" s="1"/>
  <c r="E330" i="1" l="1"/>
  <c r="E338" i="1"/>
  <c r="E340" i="1" s="1"/>
</calcChain>
</file>

<file path=xl/sharedStrings.xml><?xml version="1.0" encoding="utf-8"?>
<sst xmlns="http://schemas.openxmlformats.org/spreadsheetml/2006/main" count="2989" uniqueCount="800">
  <si>
    <t>Entity</t>
  </si>
  <si>
    <t>CC</t>
  </si>
  <si>
    <t>PROFIT &amp; LOSS</t>
  </si>
  <si>
    <t>Deck Mapping</t>
  </si>
  <si>
    <t>FY 2026 BUDGET</t>
  </si>
  <si>
    <t>NETSUITE</t>
  </si>
  <si>
    <t>NETSUITE 2</t>
  </si>
  <si>
    <t>LEVEL1 Netsuite</t>
  </si>
  <si>
    <t>Level 2</t>
  </si>
  <si>
    <t>Per Softcom upload ( Old)</t>
  </si>
  <si>
    <t>COGS Sub Mapping</t>
  </si>
  <si>
    <t>UT</t>
  </si>
  <si>
    <t>Hardware Sales</t>
  </si>
  <si>
    <t>Hardware sales</t>
  </si>
  <si>
    <t>Revenue Australia</t>
  </si>
  <si>
    <t>Hardware sales - direct</t>
  </si>
  <si>
    <t>Revenue</t>
  </si>
  <si>
    <t>Turnkey Components Onsold</t>
  </si>
  <si>
    <t>Trade Debtors</t>
  </si>
  <si>
    <t>Sales - Third Party Products</t>
  </si>
  <si>
    <t>Third Party Sales</t>
  </si>
  <si>
    <t>Hardware sales - third party sales</t>
  </si>
  <si>
    <t>Sales - Projects &amp; Systems Services</t>
  </si>
  <si>
    <t>Engineering services</t>
  </si>
  <si>
    <t>Support services - non-recurring</t>
  </si>
  <si>
    <t>Support services</t>
  </si>
  <si>
    <t>Sales - Demo</t>
  </si>
  <si>
    <t>Sales - RMA</t>
  </si>
  <si>
    <t>Maintenance services</t>
  </si>
  <si>
    <t>Sales - Refurbished Stock</t>
  </si>
  <si>
    <t>Support Agreements Revenue</t>
  </si>
  <si>
    <t>Maintenance services - recurring</t>
  </si>
  <si>
    <t>Sales - Seminars &amp; Onsite Training</t>
  </si>
  <si>
    <t>Subscriptions Revenue</t>
  </si>
  <si>
    <t>License fees - recurring</t>
  </si>
  <si>
    <t>License fees</t>
  </si>
  <si>
    <t>omnicore Licences</t>
  </si>
  <si>
    <t>Software &amp; License fees</t>
  </si>
  <si>
    <t>License fees - non-recurring</t>
  </si>
  <si>
    <t>Other Income</t>
  </si>
  <si>
    <t>Other Revenue</t>
  </si>
  <si>
    <t>Other revenue</t>
  </si>
  <si>
    <t>Other revenues</t>
  </si>
  <si>
    <t>Other Licences</t>
  </si>
  <si>
    <t>INC</t>
  </si>
  <si>
    <t>10001RoIPProducts</t>
  </si>
  <si>
    <t>91700 Accounts Receivable</t>
  </si>
  <si>
    <t>Revenue USA</t>
  </si>
  <si>
    <t>10002BridgeProducts</t>
  </si>
  <si>
    <t>10003900SeriesInterfaces</t>
  </si>
  <si>
    <t>10004960Handsets&amp;Consoles</t>
  </si>
  <si>
    <t>10007DXSERIESDIGITALRADIO</t>
  </si>
  <si>
    <t>10008Support&amp;Maintenance</t>
  </si>
  <si>
    <t>Maintenance services - non-recurring</t>
  </si>
  <si>
    <t>10009ProjectServices</t>
  </si>
  <si>
    <t>10010OtherLicences_Software</t>
  </si>
  <si>
    <t>10011omnigate</t>
  </si>
  <si>
    <t>10019ThirdPartyProductSales</t>
  </si>
  <si>
    <t>Third Party Products</t>
  </si>
  <si>
    <t>10020HardwareSales</t>
  </si>
  <si>
    <t>10050omnicoreSoftware_Licences</t>
  </si>
  <si>
    <t>10070 RMA Sales</t>
  </si>
  <si>
    <t>10199SalesDiscounts</t>
  </si>
  <si>
    <t>10599Loanitemsforreturn</t>
  </si>
  <si>
    <t>19998UnappliedCashPaymentIncome</t>
  </si>
  <si>
    <t>19999UncategorizedIncome</t>
  </si>
  <si>
    <t>10700FreightRecovery</t>
  </si>
  <si>
    <t>70000 Finance Charge Income</t>
  </si>
  <si>
    <t xml:space="preserve">   70220 Other Income</t>
  </si>
  <si>
    <t>Support &amp; Maintenance Agreements</t>
  </si>
  <si>
    <t>Opening Stock - Stores</t>
  </si>
  <si>
    <t>Stock on Hand - Stores</t>
  </si>
  <si>
    <t>COGS</t>
  </si>
  <si>
    <t>Hardware sales - direct costs</t>
  </si>
  <si>
    <t>Hardware - direct costs</t>
  </si>
  <si>
    <t>COGS - Direct Costs</t>
  </si>
  <si>
    <t>COGS-Hardware</t>
  </si>
  <si>
    <t>Purchases - Stores</t>
  </si>
  <si>
    <t>Closing Stock - Stores</t>
  </si>
  <si>
    <t>Opening Stock - Third Party Products</t>
  </si>
  <si>
    <t>Stock on Hand - Third Party Products</t>
  </si>
  <si>
    <t>Hardware sales - third party sales (TP) costs</t>
  </si>
  <si>
    <t>COGS-Third Party Products</t>
  </si>
  <si>
    <t>Purchases - Third Party Products</t>
  </si>
  <si>
    <t>Closing Stock - Third Party Products</t>
  </si>
  <si>
    <t>Opening Stock - REF</t>
  </si>
  <si>
    <t>Stock on Hand - Refurbished Stock</t>
  </si>
  <si>
    <t>Refurbished Stock purchases</t>
  </si>
  <si>
    <t>Closing Stock - REF</t>
  </si>
  <si>
    <t>Opening Stock - SER</t>
  </si>
  <si>
    <t>Stock on Hand - Service</t>
  </si>
  <si>
    <t>Service purchases</t>
  </si>
  <si>
    <t>Closing Stock - SER</t>
  </si>
  <si>
    <t>Opening Stock - ENG</t>
  </si>
  <si>
    <t>Stock on Hand - Engineering</t>
  </si>
  <si>
    <t>Purchases - ENG</t>
  </si>
  <si>
    <t>Closing Stock - ENG</t>
  </si>
  <si>
    <t>Opening Stock - SUB Manufacturing</t>
  </si>
  <si>
    <t>Stock on Hand - SUB Manufacturing</t>
  </si>
  <si>
    <t>Purchases - Subcontractor Manufacturing</t>
  </si>
  <si>
    <t>Closing Stock - SUB Manufacturing</t>
  </si>
  <si>
    <t>Opening Stock - Demo</t>
  </si>
  <si>
    <t>Stock on Hand - Demo purposes only</t>
  </si>
  <si>
    <t>Closing Stock - Demo</t>
  </si>
  <si>
    <t>Purchases - Demo</t>
  </si>
  <si>
    <t>Purchases - RMA</t>
  </si>
  <si>
    <t>Stock on Hand - RMA</t>
  </si>
  <si>
    <t>Maintenance software cost</t>
  </si>
  <si>
    <t>Maintenance - direct costs</t>
  </si>
  <si>
    <t>COGS-Maintenance Services</t>
  </si>
  <si>
    <t>Closing Stock - RMA</t>
  </si>
  <si>
    <t>Maintenance staff cost</t>
  </si>
  <si>
    <t>Opening Stock - FCT</t>
  </si>
  <si>
    <t>Purchases - Manufacturing</t>
  </si>
  <si>
    <t>Stock on Hand - Manufacturing</t>
  </si>
  <si>
    <t>Closing Stock - FCT</t>
  </si>
  <si>
    <t>Support &amp; Maintenance Services</t>
  </si>
  <si>
    <t>Project Engineering Services</t>
  </si>
  <si>
    <t>Consulting staff cost</t>
  </si>
  <si>
    <t>Consulting - direct costs</t>
  </si>
  <si>
    <t>COGS-Engineering Services</t>
  </si>
  <si>
    <t>Subcontractors - Engineering</t>
  </si>
  <si>
    <t>Production Labour Recovery</t>
  </si>
  <si>
    <t>COGS - overheads</t>
  </si>
  <si>
    <t>COGS - other indirect cost</t>
  </si>
  <si>
    <t>COGS - Factory Overheads</t>
  </si>
  <si>
    <t>Factory Overheads</t>
  </si>
  <si>
    <t>Freight &amp; Customs on Sales</t>
  </si>
  <si>
    <t>Trade Creditors</t>
  </si>
  <si>
    <t>COGS - Other Costs</t>
  </si>
  <si>
    <t>Freight Recovery</t>
  </si>
  <si>
    <t>Freight to US (INC)</t>
  </si>
  <si>
    <t>Consumables - Production</t>
  </si>
  <si>
    <t>Product Testing &amp; Upgrades</t>
  </si>
  <si>
    <t>Warranty &amp; Replacements</t>
  </si>
  <si>
    <t>Stock Variances</t>
  </si>
  <si>
    <t>Stock Disposal</t>
  </si>
  <si>
    <t>COGS - Write Down of Inventories</t>
  </si>
  <si>
    <t>Manufacturing Variances</t>
  </si>
  <si>
    <t>R&amp;D Innovation &amp; Upgrades</t>
  </si>
  <si>
    <t>COGS - R&amp;D adjustment other indirect costs</t>
  </si>
  <si>
    <t>COGS - R&amp;D adjustment</t>
  </si>
  <si>
    <t>Client Training - Projects</t>
  </si>
  <si>
    <t>Support software cost</t>
  </si>
  <si>
    <t>Support - direct costs</t>
  </si>
  <si>
    <t>Equipment for Demo/Loan</t>
  </si>
  <si>
    <t>Consumables - Engineering</t>
  </si>
  <si>
    <t>EMC Testing</t>
  </si>
  <si>
    <t>91900 Inventory Asset</t>
  </si>
  <si>
    <t>40001CostofGoodsSold</t>
  </si>
  <si>
    <t>40009ProjectServices</t>
  </si>
  <si>
    <t xml:space="preserve">  91909 Licences - Other</t>
  </si>
  <si>
    <t>40011omnigateCOGS</t>
  </si>
  <si>
    <t xml:space="preserve">  91950 omnicore</t>
  </si>
  <si>
    <t>40020HardwareCOGS</t>
  </si>
  <si>
    <t xml:space="preserve">  91920 Hardware - Omnitronics</t>
  </si>
  <si>
    <t>40050omnicoreSoftware_LicenceCOGS</t>
  </si>
  <si>
    <t xml:space="preserve">  91951 omnicore software</t>
  </si>
  <si>
    <t>License - direct costs</t>
  </si>
  <si>
    <t>COGS-Software &amp; License fees</t>
  </si>
  <si>
    <t>40070 RMA COGS</t>
  </si>
  <si>
    <t xml:space="preserve">  91901 RoIP Products (deleted)</t>
  </si>
  <si>
    <t>41001RoIPProducts</t>
  </si>
  <si>
    <t>41002BridgeProducts</t>
  </si>
  <si>
    <t xml:space="preserve">  91902 Bridge Products (deleted)</t>
  </si>
  <si>
    <t>41003 900 Series Interfaces</t>
  </si>
  <si>
    <t xml:space="preserve">  91903 900 Series Interfaces (deleted)</t>
  </si>
  <si>
    <t>41004960Handsets&amp;Consoles</t>
  </si>
  <si>
    <t xml:space="preserve">  91904 960 Handsets &amp; Consoles (deleted)</t>
  </si>
  <si>
    <t>41007DXSERIESDIGITALRADIO</t>
  </si>
  <si>
    <t xml:space="preserve">  91907 DX-64 Digital Radio</t>
  </si>
  <si>
    <t>41008ThirdPartyProducts</t>
  </si>
  <si>
    <t xml:space="preserve">  91908 Third Party Products</t>
  </si>
  <si>
    <t>41010OtherLicences</t>
  </si>
  <si>
    <t>41090InventoryShrinkage</t>
  </si>
  <si>
    <t>41091 Inventory Damage/ Loss</t>
  </si>
  <si>
    <t>41099LoanSystemtobereturned(Cost)</t>
  </si>
  <si>
    <t>41100Freightcharges</t>
  </si>
  <si>
    <t>95300 Accounts Payable</t>
  </si>
  <si>
    <t>42100 Exchange/Repair COGS</t>
  </si>
  <si>
    <t>45000SupportServices</t>
  </si>
  <si>
    <t>64800 Test Equipment</t>
  </si>
  <si>
    <t>Total Cost of Goods Sold</t>
  </si>
  <si>
    <t>GROSS PROFIT</t>
  </si>
  <si>
    <t>R&amp;D Reimbursements ( Omni Dev)</t>
  </si>
  <si>
    <t>Others</t>
  </si>
  <si>
    <t>Staff Cost</t>
  </si>
  <si>
    <t>Employee gross wages</t>
  </si>
  <si>
    <t>Employee benefits</t>
  </si>
  <si>
    <t>Employee remuneration</t>
  </si>
  <si>
    <t>DEV</t>
  </si>
  <si>
    <t>481</t>
  </si>
  <si>
    <t>Other Expense</t>
  </si>
  <si>
    <t>General and administrative expenses</t>
  </si>
  <si>
    <t>Other opex</t>
  </si>
  <si>
    <t>Bad debts written-off</t>
  </si>
  <si>
    <t>Bad debt expense</t>
  </si>
  <si>
    <t>Accounting expense</t>
  </si>
  <si>
    <t>Accounting Fees</t>
  </si>
  <si>
    <t>Operating Cheque Account</t>
  </si>
  <si>
    <t xml:space="preserve">Professional services </t>
  </si>
  <si>
    <t>Accounting fees</t>
  </si>
  <si>
    <t>Accounting and reporting</t>
  </si>
  <si>
    <t>Audit Fees</t>
  </si>
  <si>
    <t>Audit fees - financial reporting</t>
  </si>
  <si>
    <t>Doubtful &amp; Bad Debts</t>
  </si>
  <si>
    <t>ECL Expense</t>
  </si>
  <si>
    <t>Consultancy</t>
  </si>
  <si>
    <t>Consulting fees - non-recurring</t>
  </si>
  <si>
    <t>Consulting fees</t>
  </si>
  <si>
    <t>Other professional services</t>
  </si>
  <si>
    <t>Filing Fees/Permits</t>
  </si>
  <si>
    <t>Filing fees - annual</t>
  </si>
  <si>
    <t>Fees and permits</t>
  </si>
  <si>
    <t>Other Expenses</t>
  </si>
  <si>
    <t>Legal Fees</t>
  </si>
  <si>
    <t>Legal fees</t>
  </si>
  <si>
    <t>Legal expense</t>
  </si>
  <si>
    <t>Bank Fees</t>
  </si>
  <si>
    <t>Bank fees</t>
  </si>
  <si>
    <t>Bank and merchant fees</t>
  </si>
  <si>
    <t>Merchant Fees</t>
  </si>
  <si>
    <t>Merchant fees</t>
  </si>
  <si>
    <t>Entertainment Client</t>
  </si>
  <si>
    <t>Travel &amp; Entertainment</t>
  </si>
  <si>
    <t>Entertainment - clients</t>
  </si>
  <si>
    <t>Entertainment</t>
  </si>
  <si>
    <t>Marketing for management reporting but Entertainment expense for Tax and FS classification</t>
  </si>
  <si>
    <t>Entertainment Staff</t>
  </si>
  <si>
    <t>Entertainment - staff</t>
  </si>
  <si>
    <t>Client Gifts</t>
  </si>
  <si>
    <t>Gifts - clients</t>
  </si>
  <si>
    <t>Advertising &amp; Promotion</t>
  </si>
  <si>
    <t>Conferences</t>
  </si>
  <si>
    <t>Advertising &amp; marketing</t>
  </si>
  <si>
    <t>Advertising &amp; Marketing</t>
  </si>
  <si>
    <t>Promotions</t>
  </si>
  <si>
    <t>Marketing expenses</t>
  </si>
  <si>
    <t>Client Training</t>
  </si>
  <si>
    <t>Other general and administrative expenses</t>
  </si>
  <si>
    <t>Motor Vehicle Insurance</t>
  </si>
  <si>
    <t>Insurance</t>
  </si>
  <si>
    <t>Motor Vehicle insurance</t>
  </si>
  <si>
    <t>Liability &amp; Cyber</t>
  </si>
  <si>
    <t>Cyber insurance</t>
  </si>
  <si>
    <t>Accident &amp; Health</t>
  </si>
  <si>
    <t>Other insurance</t>
  </si>
  <si>
    <t>Donations</t>
  </si>
  <si>
    <t>Social and environmental expenses</t>
  </si>
  <si>
    <t>Marine Transit</t>
  </si>
  <si>
    <t>Workers Comp Insurance WA</t>
  </si>
  <si>
    <t>Workers compensation - AU WA</t>
  </si>
  <si>
    <t>Workers compensation</t>
  </si>
  <si>
    <t>Other Employee Expenses</t>
  </si>
  <si>
    <t>Workers Comp Insurance QLD</t>
  </si>
  <si>
    <t>Workers compensation - AU QLD</t>
  </si>
  <si>
    <t>Business WA</t>
  </si>
  <si>
    <t>Corporate Travel Insurance</t>
  </si>
  <si>
    <t>Travel insurance</t>
  </si>
  <si>
    <t>Software - Engineering</t>
  </si>
  <si>
    <t>Technology and communication</t>
  </si>
  <si>
    <t>Software dues and subscriptions</t>
  </si>
  <si>
    <t>Information Technology</t>
  </si>
  <si>
    <t>Software expenses</t>
  </si>
  <si>
    <t>Software - Finance</t>
  </si>
  <si>
    <t>IT Service &amp; Support</t>
  </si>
  <si>
    <t>IT Support</t>
  </si>
  <si>
    <t>IT Equipment &amp; Supplies</t>
  </si>
  <si>
    <t>Hardware and consumables</t>
  </si>
  <si>
    <t>Online services &amp; Cloud Storage</t>
  </si>
  <si>
    <t>Cyber Security</t>
  </si>
  <si>
    <t>Cyber security</t>
  </si>
  <si>
    <t>Sundry Expenses</t>
  </si>
  <si>
    <t>Misc Marketing</t>
  </si>
  <si>
    <t>Marketing &amp; Market Research</t>
  </si>
  <si>
    <t>Other advertising expenses</t>
  </si>
  <si>
    <t>Advertising</t>
  </si>
  <si>
    <t>Digital Advertising</t>
  </si>
  <si>
    <t>Website</t>
  </si>
  <si>
    <t>Lead Generation</t>
  </si>
  <si>
    <t>Tradeshows &amp; Events</t>
  </si>
  <si>
    <t>Tradeshows and events</t>
  </si>
  <si>
    <t>Printing &amp; Merchandise</t>
  </si>
  <si>
    <t>Prints and merchandise</t>
  </si>
  <si>
    <t>Subscriptions &amp; Memberships (Marketing)</t>
  </si>
  <si>
    <t>Subscriptions and memberships</t>
  </si>
  <si>
    <t>Marketing Consultants</t>
  </si>
  <si>
    <t>Other marketing expenses</t>
  </si>
  <si>
    <t>Travel - Flights &amp; Accomm. MKTG</t>
  </si>
  <si>
    <t>Travel</t>
  </si>
  <si>
    <t>Marketing for management reporting but Travel expense for Tax and FS classification</t>
  </si>
  <si>
    <t>Travel - Taxi &amp; Vehicle Expenses MKTG</t>
  </si>
  <si>
    <t>Travel - Meals &amp; Entertainment MKTG</t>
  </si>
  <si>
    <t>Fuel</t>
  </si>
  <si>
    <t>Fuel and oil</t>
  </si>
  <si>
    <t>Motor vehicle</t>
  </si>
  <si>
    <t>Registration</t>
  </si>
  <si>
    <t>Repairs &amp; Maintenance MV</t>
  </si>
  <si>
    <t>Motor vehicle R&amp;M</t>
  </si>
  <si>
    <t>Repairs and maintenance</t>
  </si>
  <si>
    <t>Mobile Phones</t>
  </si>
  <si>
    <t>Utilities</t>
  </si>
  <si>
    <t>Phone and internet - AU</t>
  </si>
  <si>
    <t>Communication</t>
  </si>
  <si>
    <t>Rent WA</t>
  </si>
  <si>
    <t>Rental</t>
  </si>
  <si>
    <t>Office rent</t>
  </si>
  <si>
    <t>Property expenses</t>
  </si>
  <si>
    <t>Rent WA Reversal Pre IFRS</t>
  </si>
  <si>
    <t>Rental IFRS 16 FY22 adjustment</t>
  </si>
  <si>
    <t>Property Fees &amp; Taxes</t>
  </si>
  <si>
    <t>Rates and taxes</t>
  </si>
  <si>
    <t>Cleaning WA</t>
  </si>
  <si>
    <t>Repairs and maintenance (R&amp;M)</t>
  </si>
  <si>
    <t>Other R&amp;M expenses</t>
  </si>
  <si>
    <t>Utilities WA</t>
  </si>
  <si>
    <t>Light, power, heating</t>
  </si>
  <si>
    <t>Repairs &amp; Maintenance WA</t>
  </si>
  <si>
    <t>Property R&amp;M</t>
  </si>
  <si>
    <t>Office Supplies, Postage, Copier WA</t>
  </si>
  <si>
    <t>Printing and stationery costs</t>
  </si>
  <si>
    <t>Office Expenses</t>
  </si>
  <si>
    <t>Security WA</t>
  </si>
  <si>
    <t>Security</t>
  </si>
  <si>
    <t>Office Phone WA</t>
  </si>
  <si>
    <t>Internet WA</t>
  </si>
  <si>
    <t>Internet QLD</t>
  </si>
  <si>
    <t>Rent QLD</t>
  </si>
  <si>
    <t>Property Fees &amp; Taxes QLD</t>
  </si>
  <si>
    <t>Office Supplies, Postage, Copier QLD</t>
  </si>
  <si>
    <t>Office Phone QLD</t>
  </si>
  <si>
    <t>Cleaning QLD</t>
  </si>
  <si>
    <t>Utilities QLD</t>
  </si>
  <si>
    <t>Courier Expense</t>
  </si>
  <si>
    <t>Postage expenses</t>
  </si>
  <si>
    <t>Staff Amenities WA</t>
  </si>
  <si>
    <t>Staff amenities</t>
  </si>
  <si>
    <t>Other employer expenses</t>
  </si>
  <si>
    <t>Staff Amenities QLD</t>
  </si>
  <si>
    <t>Staff Events</t>
  </si>
  <si>
    <t>Team events</t>
  </si>
  <si>
    <t>Recruitment</t>
  </si>
  <si>
    <t>Recruitment fee</t>
  </si>
  <si>
    <t>Payroll &amp; HR Consultants</t>
  </si>
  <si>
    <t>Other consulting fees</t>
  </si>
  <si>
    <t>Outsourced Staffing</t>
  </si>
  <si>
    <t>Offshore resourcing - EOR wages</t>
  </si>
  <si>
    <t>Contractors &amp; offshore resourcing</t>
  </si>
  <si>
    <t>Wages and salaries</t>
  </si>
  <si>
    <t>OHS Medical &amp; Safety</t>
  </si>
  <si>
    <t>Staff Gifts</t>
  </si>
  <si>
    <t>Gifts - staff</t>
  </si>
  <si>
    <t>Subscriptions &amp; Memberships - Staff/Corp</t>
  </si>
  <si>
    <t>Professional memberships</t>
  </si>
  <si>
    <t>Staff Training</t>
  </si>
  <si>
    <t>Staff training</t>
  </si>
  <si>
    <t>Payroll Reimbursement Clearing</t>
  </si>
  <si>
    <t>Employee remuneration - recovery / offset</t>
  </si>
  <si>
    <t>Admin Wages</t>
  </si>
  <si>
    <t>Admin Wages - Leave Accrual</t>
  </si>
  <si>
    <t>Accrued Annual Leave</t>
  </si>
  <si>
    <t>Annual leave</t>
  </si>
  <si>
    <t>Leave provisions</t>
  </si>
  <si>
    <t>Admin Wages - LSL Accrual</t>
  </si>
  <si>
    <t>Accrued LSL</t>
  </si>
  <si>
    <t>Long service leave</t>
  </si>
  <si>
    <t>Admin Wages - Superannuation</t>
  </si>
  <si>
    <t>Pension cost</t>
  </si>
  <si>
    <t>Bonus</t>
  </si>
  <si>
    <t>Stores Recovery</t>
  </si>
  <si>
    <t>WA Sales Wages</t>
  </si>
  <si>
    <t>WA Sales Wages - Leave Accrual</t>
  </si>
  <si>
    <t>WA Sales Wages - LSL Accrual</t>
  </si>
  <si>
    <t>WA Sales Wages - Superannuation</t>
  </si>
  <si>
    <t>WA Sales Wages - Commissions</t>
  </si>
  <si>
    <t>Employee commissions</t>
  </si>
  <si>
    <t>QLD Sales Wages</t>
  </si>
  <si>
    <t>QLD Sales Wages - Leave Accrual</t>
  </si>
  <si>
    <t>QLD Sales Wages - LSL Accrual</t>
  </si>
  <si>
    <t>QLD Sales Wages - Superannuation</t>
  </si>
  <si>
    <t>QLD Sales Wages - Commissions</t>
  </si>
  <si>
    <t>Production Wages</t>
  </si>
  <si>
    <t>Production Wages - Leave Accrual</t>
  </si>
  <si>
    <t>Production Wages - LSL Accrual</t>
  </si>
  <si>
    <t>Production Wages - Superannuation</t>
  </si>
  <si>
    <t>Production Wages Recovery</t>
  </si>
  <si>
    <t>Engineering Wages</t>
  </si>
  <si>
    <t>Engineering Wages - Leave Accrual</t>
  </si>
  <si>
    <t>Engineering Wages - LSL Accrual</t>
  </si>
  <si>
    <t>Engineering Wages - Superannuation</t>
  </si>
  <si>
    <t>Engineering Wages - Commissions</t>
  </si>
  <si>
    <t>Engineering Wages - Recovery</t>
  </si>
  <si>
    <t>Systems/Support Wages</t>
  </si>
  <si>
    <t>Systems/Support Wages - Superannuation</t>
  </si>
  <si>
    <t>Systems/After Hours Support</t>
  </si>
  <si>
    <t>Systems/Support  - Leave Accrual</t>
  </si>
  <si>
    <t>Systems/Support - LSL Accrual</t>
  </si>
  <si>
    <t>Systems/Support Wages Recovery</t>
  </si>
  <si>
    <t>Marketing Wages</t>
  </si>
  <si>
    <t>Marketing Wages - Annual Leave accrued</t>
  </si>
  <si>
    <t>Marketing Wages - LSL Accrued</t>
  </si>
  <si>
    <t>Marketing Wages - Superannuation</t>
  </si>
  <si>
    <t>Global Teams Fees &amp; Charges</t>
  </si>
  <si>
    <t>Offshore resourcing - EOR fee</t>
  </si>
  <si>
    <t>Global Team Salaries</t>
  </si>
  <si>
    <t>Global Leave Accrued</t>
  </si>
  <si>
    <t>R&amp;D Engineering Wages(recognized in Dev)</t>
  </si>
  <si>
    <t>Payroll Tax WA</t>
  </si>
  <si>
    <t>Payroll tax - AU WA</t>
  </si>
  <si>
    <t>Payroll tax</t>
  </si>
  <si>
    <t>Payroll Tax SA</t>
  </si>
  <si>
    <t>Payroll tax - AU SA</t>
  </si>
  <si>
    <t>Payroll Tax QLD</t>
  </si>
  <si>
    <t>Payroll tax - AU QLD</t>
  </si>
  <si>
    <t>Ut</t>
  </si>
  <si>
    <t>Fringe Benefits Tax</t>
  </si>
  <si>
    <t>FBT Expense - AU</t>
  </si>
  <si>
    <t>FBT Expense</t>
  </si>
  <si>
    <t>Worker's Compensation Payments</t>
  </si>
  <si>
    <t>Stock Loss / Gain</t>
  </si>
  <si>
    <t>Other income</t>
  </si>
  <si>
    <t>Gain (loss) on disposal of fixed assets</t>
  </si>
  <si>
    <t>Gain (loss) on disposal of operating assets</t>
  </si>
  <si>
    <t>Travel Allowance - Corporate</t>
  </si>
  <si>
    <t>Per diem food and drink - AU</t>
  </si>
  <si>
    <t>Travel expense</t>
  </si>
  <si>
    <t>Flights &amp; Accommodation - Corporate</t>
  </si>
  <si>
    <t>Flights - AU</t>
  </si>
  <si>
    <t>Parking,Taxis and Car Hire - Corporate</t>
  </si>
  <si>
    <t>Ground travel - AU</t>
  </si>
  <si>
    <t>Travel meals - Corporate</t>
  </si>
  <si>
    <t>Flights &amp; Accommodation - Sales</t>
  </si>
  <si>
    <t>Parking, Taxis and Car Hire - Sales</t>
  </si>
  <si>
    <t>Travel Meals - Sales</t>
  </si>
  <si>
    <t>Travel Allowance - Engineering</t>
  </si>
  <si>
    <t>Flights &amp; Accommodation - Engineering</t>
  </si>
  <si>
    <t>Parking,Taxis and Car Hire - Engineering</t>
  </si>
  <si>
    <t>Travel Meals - Engineering</t>
  </si>
  <si>
    <t>Marketing (Omni Inc.)</t>
  </si>
  <si>
    <t>69900 Sales&amp;MarketingServices-Recovery</t>
  </si>
  <si>
    <t>91200 Bank of America Checking - 5640</t>
  </si>
  <si>
    <t>60000 Marketing</t>
  </si>
  <si>
    <t>60010 Advertising&amp;Promotions</t>
  </si>
  <si>
    <t>60020 TradeShows</t>
  </si>
  <si>
    <t>60025 Printing&amp;Merchandise</t>
  </si>
  <si>
    <t>60400 BankServiceCharges</t>
  </si>
  <si>
    <t>60401 MerchantAccountFees</t>
  </si>
  <si>
    <t>60402 InterestExpense</t>
  </si>
  <si>
    <t>60500 Bad Debts Written Off</t>
  </si>
  <si>
    <t>Bad debt provisions</t>
  </si>
  <si>
    <t>60501 Bad Debt Expense</t>
  </si>
  <si>
    <t>61000 BusinessLicensesandPermits</t>
  </si>
  <si>
    <t>Business license fees</t>
  </si>
  <si>
    <t>61700 ComputerandInternetExpenses</t>
  </si>
  <si>
    <t>Phone and internet - ROW</t>
  </si>
  <si>
    <t>61800 SoftwareExpense</t>
  </si>
  <si>
    <t>62000 Reseller Training Expenses</t>
  </si>
  <si>
    <t>62100 Seminars and Trainings</t>
  </si>
  <si>
    <t>62002 CorporateandLegalFees</t>
  </si>
  <si>
    <t>62500 DuesandSubscriptions</t>
  </si>
  <si>
    <t>Dues and subscriptions</t>
  </si>
  <si>
    <t>Publications and memberships</t>
  </si>
  <si>
    <t>63300 InsuranceExpense</t>
  </si>
  <si>
    <t>63310 GeneralLiabilityInsurance</t>
  </si>
  <si>
    <t>Management liability insurance</t>
  </si>
  <si>
    <t>63320 MotorVehicleInsurance</t>
  </si>
  <si>
    <t>63360 Worker'sCompensation</t>
  </si>
  <si>
    <t>63370 PropertyInsurance</t>
  </si>
  <si>
    <t>Property insurance</t>
  </si>
  <si>
    <t>64500 Entertainment</t>
  </si>
  <si>
    <t>64510 ClientEntertainment-Local</t>
  </si>
  <si>
    <t>64520 StaffEntertainment-100%Dedu</t>
  </si>
  <si>
    <t>64700 Miscellaneous Expense</t>
  </si>
  <si>
    <t>Other office expenses</t>
  </si>
  <si>
    <t>66700 ProfessionalFees (accounting)</t>
  </si>
  <si>
    <t>66800 PayrollRelatedExpenses</t>
  </si>
  <si>
    <t>66801 Salaries&amp;Wages</t>
  </si>
  <si>
    <t>66802 Bonus</t>
  </si>
  <si>
    <t>66806CommissionsPaid</t>
  </si>
  <si>
    <t>66820 PayrollTaxes</t>
  </si>
  <si>
    <t>Payroll tax - ROW</t>
  </si>
  <si>
    <t>66827 FL State Unemployment Tax</t>
  </si>
  <si>
    <t>66840 FederalPayrollTaxes</t>
  </si>
  <si>
    <t>66850 HealthInsurance</t>
  </si>
  <si>
    <t>Medical insurance</t>
  </si>
  <si>
    <t>66860 Vacationexpenseaccrued</t>
  </si>
  <si>
    <t>66880 StaffGifts</t>
  </si>
  <si>
    <t>66899 PayrollClearingAccount</t>
  </si>
  <si>
    <t>67100 OfficeExpenses</t>
  </si>
  <si>
    <t>67105 OfficeRental</t>
  </si>
  <si>
    <t>67110 Stationery&amp;OfficeConsumables</t>
  </si>
  <si>
    <t>67120 PostageandDelivery</t>
  </si>
  <si>
    <t>67500 Telephone/CommunicationExpense</t>
  </si>
  <si>
    <t>68200 USWarehouse&amp;Logistics</t>
  </si>
  <si>
    <t>Warehouse rent</t>
  </si>
  <si>
    <t>68400 Travel</t>
  </si>
  <si>
    <t>Other travel expenses - ROW</t>
  </si>
  <si>
    <t>68405 Travel-BusinessDevelopment</t>
  </si>
  <si>
    <t>68410 Accommodation-BusinessDevelopment</t>
  </si>
  <si>
    <t>Accomodation - ROW</t>
  </si>
  <si>
    <t>68415 Flights-BusinessDevelopment</t>
  </si>
  <si>
    <t>Flights - ROW</t>
  </si>
  <si>
    <t>68420 MealsandEntertainment-BusinessDevelopment</t>
  </si>
  <si>
    <t>Per diem food and drink - ROW</t>
  </si>
  <si>
    <t>68421 Per Diems / Travel Allowance</t>
  </si>
  <si>
    <t>68450 Taxis&amp;CarRental-BusinessDevelopment</t>
  </si>
  <si>
    <t>Ground travel - ROW</t>
  </si>
  <si>
    <t>68460 TradeShowsTravel</t>
  </si>
  <si>
    <t>68465 Flights-TradeShows</t>
  </si>
  <si>
    <t>68470 Accommodation-TradeShows</t>
  </si>
  <si>
    <t>68472 Meals&amp;Entertainment-TradeShows</t>
  </si>
  <si>
    <t>68475 Taxis&amp;CarRental-TradeShows</t>
  </si>
  <si>
    <t>69800 UncategorizedExpense</t>
  </si>
  <si>
    <t>Total Expenses</t>
  </si>
  <si>
    <t>NET PROFIT</t>
  </si>
  <si>
    <t>Interest Charges-External Debt</t>
  </si>
  <si>
    <t>Interest Expense - External Debt</t>
  </si>
  <si>
    <t>Finance cost</t>
  </si>
  <si>
    <t>Interest</t>
  </si>
  <si>
    <t>Interest expense - external debt</t>
  </si>
  <si>
    <t>Interest Expense - Lease Liabilities</t>
  </si>
  <si>
    <t>Lease Liabilities - current</t>
  </si>
  <si>
    <t>Interest expense - leases</t>
  </si>
  <si>
    <t>Interest Expense - Related Parties</t>
  </si>
  <si>
    <t>Interest expense - intercompany</t>
  </si>
  <si>
    <t>Interest - related party</t>
  </si>
  <si>
    <t>Interest Received</t>
  </si>
  <si>
    <t>Interest income</t>
  </si>
  <si>
    <t>Interest Income - external loan</t>
  </si>
  <si>
    <t>Interest Income - External</t>
  </si>
  <si>
    <t>Foreign Exchange Loss / Gain</t>
  </si>
  <si>
    <t>Trade Forex Gain/(Losses)</t>
  </si>
  <si>
    <t>FX gain / loss</t>
  </si>
  <si>
    <t>Realised FX gain / loss</t>
  </si>
  <si>
    <t>77000 Exchange Gain or Loss</t>
  </si>
  <si>
    <t>Gain(Loss) on IFRS-16</t>
  </si>
  <si>
    <t>62400 DepreciationExpense</t>
  </si>
  <si>
    <t>Less Accumulated Depreciation</t>
  </si>
  <si>
    <t>Depreciation &amp; amortisation expense</t>
  </si>
  <si>
    <t>D&amp;A</t>
  </si>
  <si>
    <t>Fixed assets depreciation</t>
  </si>
  <si>
    <t>Depreciation and impairment - fixed assets</t>
  </si>
  <si>
    <t>Depreciation expense</t>
  </si>
  <si>
    <t>Depreciation -FA</t>
  </si>
  <si>
    <t>Depreciation - Loan Equipment</t>
  </si>
  <si>
    <t>Depreciation - ROU assets</t>
  </si>
  <si>
    <t>Less Accum Depn ROU Assets</t>
  </si>
  <si>
    <t xml:space="preserve">ROU depreciation </t>
  </si>
  <si>
    <t>Depreciation and impairment - ROU</t>
  </si>
  <si>
    <t>Depreciation for ROU expense</t>
  </si>
  <si>
    <t>Software PPA amortisation expense</t>
  </si>
  <si>
    <t>Customer relationship PPA amortisation expense</t>
  </si>
  <si>
    <t>Intellectual property amortisation expense</t>
  </si>
  <si>
    <t>Less Income Tax Expense</t>
  </si>
  <si>
    <t>Taxes</t>
  </si>
  <si>
    <t>Tax</t>
  </si>
  <si>
    <t>Income tax expense (deferred) - ROW</t>
  </si>
  <si>
    <t>Income tax expense - deferred</t>
  </si>
  <si>
    <t>Income tax expense</t>
  </si>
  <si>
    <t>Income Tax Epense</t>
  </si>
  <si>
    <t>Provision for Income Tax</t>
  </si>
  <si>
    <t>Gain/Loss from Write off</t>
  </si>
  <si>
    <t>65050FederalCorporateTax</t>
  </si>
  <si>
    <t>Income tax expense (current) - ROW</t>
  </si>
  <si>
    <t>Income tax expense - current</t>
  </si>
  <si>
    <t>Subtotal</t>
  </si>
  <si>
    <t>Expenses Including Dep &amp; Interest</t>
  </si>
  <si>
    <t>NET Income/Loss</t>
  </si>
  <si>
    <t>Per Consol</t>
  </si>
  <si>
    <t>CHECK</t>
  </si>
  <si>
    <t>EBITDA before Bonus</t>
  </si>
  <si>
    <t>EBITDA gross</t>
  </si>
  <si>
    <t>Staff target EBITDA</t>
  </si>
  <si>
    <t>BALANCE SHEET</t>
  </si>
  <si>
    <t>TOTAL FY25</t>
  </si>
  <si>
    <t>ASSETS</t>
  </si>
  <si>
    <t>Cash on Hand - Unit Capital</t>
  </si>
  <si>
    <t>Cash and short-term deposits</t>
  </si>
  <si>
    <t>Cash on hand</t>
  </si>
  <si>
    <t>Cash at bank</t>
  </si>
  <si>
    <t>Debit cards bank account</t>
  </si>
  <si>
    <t>CRB Account</t>
  </si>
  <si>
    <t>Airwallex AUD</t>
  </si>
  <si>
    <t>Airwallex USD</t>
  </si>
  <si>
    <t>Westpac USD</t>
  </si>
  <si>
    <t>Credit Card - JF</t>
  </si>
  <si>
    <t>USD - AFEX Account</t>
  </si>
  <si>
    <t>Dev</t>
  </si>
  <si>
    <t>Cash on Hand</t>
  </si>
  <si>
    <t>Cash at Bank</t>
  </si>
  <si>
    <t>Inc</t>
  </si>
  <si>
    <t>91000 Perth Clearing Acccount</t>
  </si>
  <si>
    <t>91100 Bank of America Savings - 6745</t>
  </si>
  <si>
    <t>91201 BoA Debit Account - 8086</t>
  </si>
  <si>
    <t>91300 Airwallex USD</t>
  </si>
  <si>
    <t>91400 Petty Cash</t>
  </si>
  <si>
    <t>91500 Undeposited Funds</t>
  </si>
  <si>
    <t xml:space="preserve">Trade receivables </t>
  </si>
  <si>
    <t>Trade receivables</t>
  </si>
  <si>
    <t>Sundry Debtors</t>
  </si>
  <si>
    <t>ECL Provision</t>
  </si>
  <si>
    <t xml:space="preserve">Provision for bad debts - trade receivables </t>
  </si>
  <si>
    <t>Allowance for ECL</t>
  </si>
  <si>
    <t>91703 Allowance for ECL</t>
  </si>
  <si>
    <t>91701 Allowance for Doubtful Accounts</t>
  </si>
  <si>
    <t>91702 Sundry Debtors</t>
  </si>
  <si>
    <t>Finished Goods</t>
  </si>
  <si>
    <t>Inventories</t>
  </si>
  <si>
    <t>Other Inventories</t>
  </si>
  <si>
    <t>Work in Progress</t>
  </si>
  <si>
    <t>91910 Loan Inventory</t>
  </si>
  <si>
    <t xml:space="preserve">  91999 Items out on loan</t>
  </si>
  <si>
    <t>99999 Demo Equipment (deleted)</t>
  </si>
  <si>
    <t>91911 Provision for Inventory Write Off</t>
  </si>
  <si>
    <t>Allowance for inventory write-down</t>
  </si>
  <si>
    <t>92100 EXCHANGE/REPAIR STOCK</t>
  </si>
  <si>
    <t>94500 Prepayments</t>
  </si>
  <si>
    <t>Prepayments</t>
  </si>
  <si>
    <t>Other current assets</t>
  </si>
  <si>
    <t>99998 Uncategorized Asset</t>
  </si>
  <si>
    <t>Engineering Services WIP</t>
  </si>
  <si>
    <t>Provision for inventory write down</t>
  </si>
  <si>
    <t>Advance</t>
  </si>
  <si>
    <t>Deposits Paid</t>
  </si>
  <si>
    <t>Security Deposit</t>
  </si>
  <si>
    <t>TBCT Omni Inc</t>
  </si>
  <si>
    <t>Security Dpst/Keys (Qld)</t>
  </si>
  <si>
    <t>Fixed Assets Clearing</t>
  </si>
  <si>
    <t>Office equipment - Cost</t>
  </si>
  <si>
    <t>Office equipment</t>
  </si>
  <si>
    <t>Right-of-use assets</t>
  </si>
  <si>
    <t>ROU - Buildings - Cost</t>
  </si>
  <si>
    <t>ROU - Buildings</t>
  </si>
  <si>
    <t>ROU - Buildings - Accumulated Depreciation</t>
  </si>
  <si>
    <t>Property Plant &amp; Equipment</t>
  </si>
  <si>
    <t>Office equipment - Accumulated Depreciation</t>
  </si>
  <si>
    <t>Computer Equipment</t>
  </si>
  <si>
    <t>Computer equipment - Cost</t>
  </si>
  <si>
    <t>Computer equipment</t>
  </si>
  <si>
    <t>Computer equipment - Accumulated Depreciation</t>
  </si>
  <si>
    <t>Leasehold Improvements</t>
  </si>
  <si>
    <t>Leasehold Improvements - Cost</t>
  </si>
  <si>
    <t>Leasehold Improvements - Accumulated Depreciation</t>
  </si>
  <si>
    <t>Harrogate St Offices</t>
  </si>
  <si>
    <t>Low Value Pool</t>
  </si>
  <si>
    <t>Computer Software</t>
  </si>
  <si>
    <t>Software Purchased - Cost</t>
  </si>
  <si>
    <t>Software</t>
  </si>
  <si>
    <t>Software Purchased - Accumulated Depreciation</t>
  </si>
  <si>
    <t>Software - Accumulated Amortisation</t>
  </si>
  <si>
    <t>Motor vehicles - cost</t>
  </si>
  <si>
    <t>Motor Vehicles - Cost</t>
  </si>
  <si>
    <t>Motor Vehicles</t>
  </si>
  <si>
    <t>Motor Vehicles - Accumulated Depreciation</t>
  </si>
  <si>
    <t>Loan Equipment</t>
  </si>
  <si>
    <t>Intangibles</t>
  </si>
  <si>
    <t>Trademark and Patents - Cost</t>
  </si>
  <si>
    <t>Trademark and Patents</t>
  </si>
  <si>
    <t>Deferred Tax Assets</t>
  </si>
  <si>
    <t>LT Deferred income tax asset</t>
  </si>
  <si>
    <t>Deferred Tax Assets (Non-Current)</t>
  </si>
  <si>
    <t xml:space="preserve"> 93000 Furniture and Equipment</t>
  </si>
  <si>
    <t>Furniture, Fixtures and Fittings - Cost</t>
  </si>
  <si>
    <t>Furniture, Fixtures and Fittings</t>
  </si>
  <si>
    <t xml:space="preserve"> 93001 Leasehold Improvements</t>
  </si>
  <si>
    <t xml:space="preserve"> 94000 Office Equipment</t>
  </si>
  <si>
    <t xml:space="preserve"> 94250 Accumulated Depreciation-Office Equipment</t>
  </si>
  <si>
    <t xml:space="preserve"> 94501 Lease Deposit</t>
  </si>
  <si>
    <t>Loan-Omnitronics Inc (USA)</t>
  </si>
  <si>
    <t>LT Loans receivables - related parties</t>
  </si>
  <si>
    <t>Amount Due to Related Companies</t>
  </si>
  <si>
    <t>Loan-Macroview Business</t>
  </si>
  <si>
    <t>Intercompany payable</t>
  </si>
  <si>
    <t>Loan-Software Combined Bidco Pty Ltd</t>
  </si>
  <si>
    <t>Omni Devlmts - Post 16/12/09</t>
  </si>
  <si>
    <t>Omni Devlmts - Pre 16/12/09</t>
  </si>
  <si>
    <t>Loan - Omnitronics Developments 2015</t>
  </si>
  <si>
    <t>Related Party Payable-Bidco</t>
  </si>
  <si>
    <t>Omnitronics Developments Pty Ltd</t>
  </si>
  <si>
    <t>Omnitronics Unit Trust Beneficiary Entitlement</t>
  </si>
  <si>
    <t>Beneficiary Entitlement Omni Unit Trust (Pre 16/12/2009)</t>
  </si>
  <si>
    <t>Omnitronics Unit Trust</t>
  </si>
  <si>
    <t>Loan - SWC Bidco</t>
  </si>
  <si>
    <t>Omnitronics Unit Trust - One Discretionary Unit</t>
  </si>
  <si>
    <t>Other LT Investment</t>
  </si>
  <si>
    <t>Intercompany Eliminations</t>
  </si>
  <si>
    <t>TOTAL ASSETS</t>
  </si>
  <si>
    <t>LIABILITIES AND EQUITY</t>
  </si>
  <si>
    <t>Trade payables</t>
  </si>
  <si>
    <t>Trade Payables</t>
  </si>
  <si>
    <t>Accruals</t>
  </si>
  <si>
    <t>Accrued expenses</t>
  </si>
  <si>
    <t>EMC Accrual</t>
  </si>
  <si>
    <t>Income Tax Payable</t>
  </si>
  <si>
    <t>Tax Payables</t>
  </si>
  <si>
    <t>Tax payable</t>
  </si>
  <si>
    <t>Insurance Funding</t>
  </si>
  <si>
    <t>ST Loans and borrowings (without recourse)</t>
  </si>
  <si>
    <t>Interest bearing loans and borrowings (Current)</t>
  </si>
  <si>
    <t>Goods Received Accrual</t>
  </si>
  <si>
    <t>Projects Revenue in Advance</t>
  </si>
  <si>
    <t>Customers' Deposits</t>
  </si>
  <si>
    <t>Customers deposits</t>
  </si>
  <si>
    <t>SMA Deferred Revenue</t>
  </si>
  <si>
    <t>Deferred Income</t>
  </si>
  <si>
    <t>Deferred revenue</t>
  </si>
  <si>
    <t>LT Lease Provisions</t>
  </si>
  <si>
    <t>Leases (Current)</t>
  </si>
  <si>
    <t>GST Paid</t>
  </si>
  <si>
    <t>Other payables</t>
  </si>
  <si>
    <t>Value-added tax payable</t>
  </si>
  <si>
    <t>GST Collected</t>
  </si>
  <si>
    <t>GST Accrued</t>
  </si>
  <si>
    <t>Superannuation Payable</t>
  </si>
  <si>
    <t>Employee benefits payable</t>
  </si>
  <si>
    <t>Wages payables</t>
  </si>
  <si>
    <t>ST Employee benefit provisions</t>
  </si>
  <si>
    <t>Annual leave (Current)</t>
  </si>
  <si>
    <t>PAYG</t>
  </si>
  <si>
    <t>Payroll Tax Accrual</t>
  </si>
  <si>
    <t>Payroll Accruals</t>
  </si>
  <si>
    <t>ST Loan - Software Combined</t>
  </si>
  <si>
    <t>Lowe Family Trust</t>
  </si>
  <si>
    <t>J &amp; E Florenca Family Trust</t>
  </si>
  <si>
    <t>DASH Enterprises Family Trust</t>
  </si>
  <si>
    <t>Accrued LSL Non Current</t>
  </si>
  <si>
    <t>Long service leave (Non-current)</t>
  </si>
  <si>
    <t>Lease Liabilities</t>
  </si>
  <si>
    <t>ST Lease liability</t>
  </si>
  <si>
    <t>Leases (Non-Current)</t>
  </si>
  <si>
    <t>Make good provision</t>
  </si>
  <si>
    <t>Other ST Provisions</t>
  </si>
  <si>
    <t>Make good provision (Non-Current)</t>
  </si>
  <si>
    <t>28000 Loan - Omnitronics Australia</t>
  </si>
  <si>
    <t>ST Portion of LT Loans and borrowings (without recourse)</t>
  </si>
  <si>
    <t xml:space="preserve">  25500 Sales Tax Payable</t>
  </si>
  <si>
    <t>21105 Deposits Received</t>
  </si>
  <si>
    <t>21106 SMA Income in Advance</t>
  </si>
  <si>
    <t>24000 Payroll Liabilities</t>
  </si>
  <si>
    <t xml:space="preserve">   24001 RI Income Tax</t>
  </si>
  <si>
    <t xml:space="preserve">   24002 FL Department of Revenue Payable</t>
  </si>
  <si>
    <t xml:space="preserve">   24003 MS Income Tax</t>
  </si>
  <si>
    <t xml:space="preserve">   24004 MS Unemployment Tax</t>
  </si>
  <si>
    <t xml:space="preserve">   24005 VA Income Tax</t>
  </si>
  <si>
    <t xml:space="preserve">   24007 VA SUI Employer</t>
  </si>
  <si>
    <t xml:space="preserve">   24008 IL Income Tax</t>
  </si>
  <si>
    <t xml:space="preserve">   24009 IL Unemployment Tax</t>
  </si>
  <si>
    <t xml:space="preserve">   24010 LA Income Tax</t>
  </si>
  <si>
    <t xml:space="preserve">   24011 LA Unemployment Tax</t>
  </si>
  <si>
    <t xml:space="preserve">   24050 MetLife</t>
  </si>
  <si>
    <t xml:space="preserve">   24100 Federal payroll liability</t>
  </si>
  <si>
    <t xml:space="preserve">   24200 State SUI Payroll</t>
  </si>
  <si>
    <t xml:space="preserve">   24300 Health Insurance-1</t>
  </si>
  <si>
    <t xml:space="preserve">   24499 Direct Deposit Payable</t>
  </si>
  <si>
    <t xml:space="preserve">   24500 Payroll Accrual</t>
  </si>
  <si>
    <t xml:space="preserve">   24550 Commissions Payable</t>
  </si>
  <si>
    <t>25501 Florida Department of Revenue Payable</t>
  </si>
  <si>
    <t>25503 NC Department of Revenue Payable</t>
  </si>
  <si>
    <t>25504 Indiana Department of Revenue Payable</t>
  </si>
  <si>
    <t>25505 New York State Department of Tax &amp; Finance Payable</t>
  </si>
  <si>
    <t>25506 Ohio Payable</t>
  </si>
  <si>
    <t>25507 Arkansas Payable</t>
  </si>
  <si>
    <t>25508 State of North Carolina Payable</t>
  </si>
  <si>
    <t>25509 WA Payable</t>
  </si>
  <si>
    <t>25520 Out Of Scope Agency Payable</t>
  </si>
  <si>
    <t>25530 Sales Tax Agency Payable</t>
  </si>
  <si>
    <t>25540 Reseller Payable</t>
  </si>
  <si>
    <t>25511 California Department of Tax and Fee Administration Payable</t>
  </si>
  <si>
    <t>25512 NEW JERSEY DIVISION OF REVENUE Payable</t>
  </si>
  <si>
    <t>25513 Wyoming Department of Revenue Payable</t>
  </si>
  <si>
    <t>25700 Accrued Expenses</t>
  </si>
  <si>
    <t>Total Liabilities</t>
  </si>
  <si>
    <t>Shareholders equity</t>
  </si>
  <si>
    <t>Ordinary Issued Share Capital</t>
  </si>
  <si>
    <t>Ordinary shares</t>
  </si>
  <si>
    <t>Share Capital</t>
  </si>
  <si>
    <t>Profit Carried Forward</t>
  </si>
  <si>
    <t>Retained Earnings (prior year)</t>
  </si>
  <si>
    <t>280 Fully Paid Ordinary Shares of $0.50</t>
  </si>
  <si>
    <t>Retained Earnings</t>
  </si>
  <si>
    <t>DEV 60400</t>
  </si>
  <si>
    <t>1 "B" Class share</t>
  </si>
  <si>
    <t>DEV 60500</t>
  </si>
  <si>
    <t>1 "C" Class Share</t>
  </si>
  <si>
    <t>DEV 60600</t>
  </si>
  <si>
    <t>1 "D" Class Share</t>
  </si>
  <si>
    <t>DEV 60700</t>
  </si>
  <si>
    <t>1 "E" Class Share</t>
  </si>
  <si>
    <t>Current year earnings</t>
  </si>
  <si>
    <t>Retained Earnings - prior year adjustments</t>
  </si>
  <si>
    <t>Retained earnings</t>
  </si>
  <si>
    <t xml:space="preserve">      30000 Opening Balance Equity</t>
  </si>
  <si>
    <t>Share premium</t>
  </si>
  <si>
    <t>2610000a</t>
  </si>
  <si>
    <t>Equity Forwarded/Retained Earnings</t>
  </si>
  <si>
    <t>Foreign Exchange Reserve</t>
  </si>
  <si>
    <t>Foreign currency translation reserve</t>
  </si>
  <si>
    <t>Profit &amp; Loss</t>
  </si>
  <si>
    <t>TOTAL LIABILITIES AND EQUITY</t>
  </si>
  <si>
    <t xml:space="preserve">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</si>
</sst>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sz val="16"/>
      <color theme="4" tint="-0.49998474074526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inter"/>
      <family val="2"/>
    </font>
    <font>
      <sz val="10"/>
      <color theme="1"/>
      <name val="Aptos Narrow"/>
      <family val="2"/>
      <scheme val="minor"/>
    </font>
    <font>
      <sz val="26"/>
      <color theme="4" tint="-0.249977111117893"/>
      <name val="Aptos Narrow"/>
      <family val="2"/>
      <scheme val="minor"/>
    </font>
    <font>
      <b/>
      <sz val="8"/>
      <color indexed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1">
    <xf numFmtId="0" fontId="0" fillId="0" borderId="0"/>
    <xf numFmtId="0" fontId="2" fillId="0" borderId="0">
      <alignment vertical="top"/>
    </xf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0" fontId="9" fillId="0" borderId="0"/>
    <xf numFmtId="43" fontId="2" fillId="0" borderId="0" applyFont="0" applyFill="0" applyBorder="0" applyAlignment="0" applyProtection="0">
      <alignment vertical="top"/>
    </xf>
    <xf numFmtId="0" fontId="13" fillId="0" borderId="0"/>
    <xf numFmtId="0" fontId="1" fillId="0" borderId="0"/>
    <xf numFmtId="0" fontId="2" fillId="0" borderId="0">
      <alignment vertical="top"/>
    </xf>
    <xf numFmtId="9" fontId="13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1" applyFont="1">
      <alignment vertical="top"/>
    </xf>
    <xf numFmtId="0" fontId="5" fillId="0" borderId="0" xfId="1" applyFont="1">
      <alignment vertical="top"/>
    </xf>
    <xf numFmtId="164" fontId="4" fillId="0" borderId="0" xfId="3" applyFont="1" applyAlignment="1">
      <alignment horizontal="center"/>
    </xf>
    <xf numFmtId="0" fontId="6" fillId="0" borderId="0" xfId="1" applyFont="1">
      <alignment vertical="top"/>
    </xf>
    <xf numFmtId="164" fontId="7" fillId="3" borderId="1" xfId="4" applyFont="1" applyFill="1" applyBorder="1">
      <alignment vertical="top"/>
    </xf>
    <xf numFmtId="17" fontId="8" fillId="4" borderId="1" xfId="4" applyNumberFormat="1" applyFont="1" applyFill="1" applyBorder="1">
      <alignment vertical="top"/>
    </xf>
    <xf numFmtId="164" fontId="3" fillId="4" borderId="0" xfId="4" applyFont="1" applyFill="1" applyBorder="1">
      <alignment vertical="top"/>
    </xf>
    <xf numFmtId="164" fontId="7" fillId="5" borderId="1" xfId="4" applyFont="1" applyFill="1" applyBorder="1">
      <alignment vertical="top"/>
    </xf>
    <xf numFmtId="164" fontId="7" fillId="3" borderId="0" xfId="4" applyFont="1" applyFill="1" applyBorder="1">
      <alignment vertical="top"/>
    </xf>
    <xf numFmtId="0" fontId="10" fillId="0" borderId="0" xfId="5" applyFont="1" applyAlignment="1">
      <alignment vertical="top"/>
    </xf>
    <xf numFmtId="43" fontId="8" fillId="4" borderId="2" xfId="6" applyFont="1" applyFill="1" applyBorder="1">
      <alignment vertical="top"/>
    </xf>
    <xf numFmtId="43" fontId="3" fillId="4" borderId="2" xfId="6" applyFont="1" applyFill="1" applyBorder="1">
      <alignment vertical="top"/>
    </xf>
    <xf numFmtId="164" fontId="3" fillId="0" borderId="0" xfId="1" applyNumberFormat="1" applyFont="1">
      <alignment vertical="top"/>
    </xf>
    <xf numFmtId="43" fontId="3" fillId="0" borderId="0" xfId="1" applyNumberFormat="1" applyFont="1">
      <alignment vertical="top"/>
    </xf>
    <xf numFmtId="0" fontId="3" fillId="6" borderId="0" xfId="1" applyFont="1" applyFill="1">
      <alignment vertical="top"/>
    </xf>
    <xf numFmtId="0" fontId="10" fillId="6" borderId="0" xfId="5" applyFont="1" applyFill="1" applyAlignment="1">
      <alignment vertical="top"/>
    </xf>
    <xf numFmtId="43" fontId="8" fillId="6" borderId="2" xfId="6" applyFont="1" applyFill="1" applyBorder="1">
      <alignment vertical="top"/>
    </xf>
    <xf numFmtId="43" fontId="3" fillId="6" borderId="2" xfId="6" applyFont="1" applyFill="1" applyBorder="1">
      <alignment vertical="top"/>
    </xf>
    <xf numFmtId="43" fontId="3" fillId="6" borderId="0" xfId="1" applyNumberFormat="1" applyFont="1" applyFill="1">
      <alignment vertical="top"/>
    </xf>
    <xf numFmtId="0" fontId="11" fillId="7" borderId="0" xfId="5" applyFont="1" applyFill="1" applyAlignment="1">
      <alignment vertical="top"/>
    </xf>
    <xf numFmtId="0" fontId="10" fillId="7" borderId="0" xfId="5" applyFont="1" applyFill="1" applyAlignment="1">
      <alignment vertical="top"/>
    </xf>
    <xf numFmtId="0" fontId="12" fillId="8" borderId="0" xfId="5" applyFont="1" applyFill="1" applyAlignment="1">
      <alignment vertical="top"/>
    </xf>
    <xf numFmtId="43" fontId="7" fillId="8" borderId="2" xfId="6" applyFont="1" applyFill="1" applyBorder="1">
      <alignment vertical="top"/>
    </xf>
    <xf numFmtId="43" fontId="8" fillId="9" borderId="2" xfId="6" applyFont="1" applyFill="1" applyBorder="1">
      <alignment vertical="top"/>
    </xf>
    <xf numFmtId="0" fontId="3" fillId="0" borderId="0" xfId="7" applyFont="1" applyAlignment="1">
      <alignment vertical="top"/>
    </xf>
    <xf numFmtId="0" fontId="10" fillId="0" borderId="0" xfId="8" applyFont="1" applyAlignment="1">
      <alignment vertical="top"/>
    </xf>
    <xf numFmtId="0" fontId="3" fillId="10" borderId="0" xfId="1" applyFont="1" applyFill="1">
      <alignment vertical="top"/>
    </xf>
    <xf numFmtId="0" fontId="10" fillId="10" borderId="0" xfId="5" applyFont="1" applyFill="1" applyAlignment="1">
      <alignment vertical="top"/>
    </xf>
    <xf numFmtId="43" fontId="7" fillId="11" borderId="2" xfId="6" applyFont="1" applyFill="1" applyBorder="1">
      <alignment vertical="top"/>
    </xf>
    <xf numFmtId="0" fontId="3" fillId="12" borderId="0" xfId="1" applyFont="1" applyFill="1">
      <alignment vertical="top"/>
    </xf>
    <xf numFmtId="43" fontId="3" fillId="13" borderId="2" xfId="6" applyFont="1" applyFill="1" applyBorder="1">
      <alignment vertical="top"/>
    </xf>
    <xf numFmtId="0" fontId="3" fillId="9" borderId="0" xfId="1" applyFont="1" applyFill="1">
      <alignment vertical="top"/>
    </xf>
    <xf numFmtId="43" fontId="3" fillId="12" borderId="0" xfId="1" applyNumberFormat="1" applyFont="1" applyFill="1">
      <alignment vertical="top"/>
    </xf>
    <xf numFmtId="0" fontId="10" fillId="6" borderId="0" xfId="8" applyFont="1" applyFill="1" applyAlignment="1">
      <alignment vertical="top"/>
    </xf>
    <xf numFmtId="0" fontId="10" fillId="0" borderId="0" xfId="9" applyFont="1">
      <alignment vertical="top"/>
    </xf>
    <xf numFmtId="0" fontId="14" fillId="0" borderId="0" xfId="7" applyFont="1" applyAlignment="1">
      <alignment vertical="top"/>
    </xf>
    <xf numFmtId="0" fontId="3" fillId="14" borderId="0" xfId="1" applyFont="1" applyFill="1">
      <alignment vertical="top"/>
    </xf>
    <xf numFmtId="43" fontId="3" fillId="14" borderId="0" xfId="1" applyNumberFormat="1" applyFont="1" applyFill="1">
      <alignment vertical="top"/>
    </xf>
    <xf numFmtId="0" fontId="12" fillId="15" borderId="0" xfId="1" applyFont="1" applyFill="1">
      <alignment vertical="top"/>
    </xf>
    <xf numFmtId="164" fontId="12" fillId="15" borderId="0" xfId="1" applyNumberFormat="1" applyFont="1" applyFill="1">
      <alignment vertical="top"/>
    </xf>
    <xf numFmtId="0" fontId="10" fillId="16" borderId="0" xfId="1" applyFont="1" applyFill="1">
      <alignment vertical="top"/>
    </xf>
    <xf numFmtId="164" fontId="10" fillId="16" borderId="0" xfId="3" applyFont="1" applyFill="1" applyAlignment="1">
      <alignment vertical="top"/>
    </xf>
    <xf numFmtId="43" fontId="10" fillId="16" borderId="0" xfId="1" applyNumberFormat="1" applyFont="1" applyFill="1">
      <alignment vertical="top"/>
    </xf>
    <xf numFmtId="43" fontId="10" fillId="0" borderId="0" xfId="1" applyNumberFormat="1" applyFont="1">
      <alignment vertical="top"/>
    </xf>
    <xf numFmtId="43" fontId="3" fillId="0" borderId="0" xfId="1" applyNumberFormat="1" applyFont="1" applyAlignment="1">
      <alignment horizontal="left" vertical="top"/>
    </xf>
    <xf numFmtId="9" fontId="3" fillId="0" borderId="0" xfId="10" applyFont="1" applyAlignment="1">
      <alignment vertical="top"/>
    </xf>
    <xf numFmtId="9" fontId="3" fillId="0" borderId="0" xfId="10" applyFont="1" applyFill="1" applyAlignment="1">
      <alignment vertical="top"/>
    </xf>
    <xf numFmtId="164" fontId="3" fillId="0" borderId="0" xfId="3" applyFont="1" applyAlignment="1">
      <alignment vertical="top"/>
    </xf>
    <xf numFmtId="40" fontId="3" fillId="0" borderId="0" xfId="1" applyNumberFormat="1" applyFont="1">
      <alignment vertical="top"/>
    </xf>
    <xf numFmtId="40" fontId="12" fillId="17" borderId="3" xfId="1" applyNumberFormat="1" applyFont="1" applyFill="1" applyBorder="1">
      <alignment vertical="top"/>
    </xf>
    <xf numFmtId="164" fontId="12" fillId="17" borderId="3" xfId="3" applyFont="1" applyFill="1" applyBorder="1" applyAlignment="1">
      <alignment vertical="top"/>
    </xf>
    <xf numFmtId="0" fontId="15" fillId="0" borderId="0" xfId="1" applyFont="1">
      <alignment vertical="top"/>
    </xf>
    <xf numFmtId="0" fontId="16" fillId="0" borderId="0" xfId="7" applyFont="1" applyAlignment="1">
      <alignment horizontal="left"/>
    </xf>
    <xf numFmtId="43" fontId="3" fillId="2" borderId="2" xfId="6" applyFont="1" applyFill="1" applyBorder="1">
      <alignment vertical="top"/>
    </xf>
    <xf numFmtId="0" fontId="10" fillId="9" borderId="0" xfId="8" applyFont="1" applyFill="1" applyAlignment="1">
      <alignment vertical="top"/>
    </xf>
    <xf numFmtId="43" fontId="3" fillId="9" borderId="2" xfId="6" applyFont="1" applyFill="1" applyBorder="1">
      <alignment vertical="top"/>
    </xf>
    <xf numFmtId="43" fontId="3" fillId="18" borderId="2" xfId="6" applyFont="1" applyFill="1" applyBorder="1">
      <alignment vertical="top"/>
    </xf>
    <xf numFmtId="0" fontId="3" fillId="18" borderId="0" xfId="1" applyFont="1" applyFill="1">
      <alignment vertical="top"/>
    </xf>
    <xf numFmtId="0" fontId="3" fillId="18" borderId="0" xfId="7" applyFont="1" applyFill="1" applyAlignment="1">
      <alignment vertical="top"/>
    </xf>
    <xf numFmtId="0" fontId="14" fillId="18" borderId="0" xfId="7" applyFont="1" applyFill="1" applyAlignment="1">
      <alignment vertical="top"/>
    </xf>
    <xf numFmtId="0" fontId="3" fillId="19" borderId="0" xfId="1" applyFont="1" applyFill="1">
      <alignment vertical="top"/>
    </xf>
    <xf numFmtId="43" fontId="12" fillId="20" borderId="0" xfId="1" applyNumberFormat="1" applyFont="1" applyFill="1">
      <alignment vertical="top"/>
    </xf>
    <xf numFmtId="0" fontId="12" fillId="20" borderId="0" xfId="1" applyFont="1" applyFill="1">
      <alignment vertical="top"/>
    </xf>
    <xf numFmtId="43" fontId="12" fillId="15" borderId="0" xfId="1" applyNumberFormat="1" applyFont="1" applyFill="1">
      <alignment vertical="top"/>
    </xf>
  </cellXfs>
  <cellStyles count="11">
    <cellStyle name="Comma 3 2 2" xfId="3" xr:uid="{7A4EC4BF-9991-424F-B3F7-DC15C9D6D218}"/>
    <cellStyle name="Comma 6" xfId="4" xr:uid="{23698FF5-893B-439F-9950-FEA5B6E6C424}"/>
    <cellStyle name="Comma 6 4" xfId="6" xr:uid="{303A420E-FCEC-42AB-9412-3D79FF7DC6C1}"/>
    <cellStyle name="Normal" xfId="0" builtinId="0"/>
    <cellStyle name="Normal 14" xfId="8" xr:uid="{7391CC45-752C-41AE-8E2B-C50CD3999AD0}"/>
    <cellStyle name="Normal 2 2 2 2" xfId="5" xr:uid="{A33C46FF-6F20-479F-B419-50C4940C3D2B}"/>
    <cellStyle name="Normal 2 2 3" xfId="1" xr:uid="{0AC15B16-5ACC-466B-9ABA-63EE508F96C1}"/>
    <cellStyle name="Normal 4 2" xfId="9" xr:uid="{763E2605-F61B-4CA3-91FB-DF7088A417C9}"/>
    <cellStyle name="Normal 5 2" xfId="2" xr:uid="{F2C17AEF-E2DF-486E-8B66-842CE186F6EA}"/>
    <cellStyle name="Normal 6" xfId="7" xr:uid="{5CE88C5E-1625-4A1A-8063-7701674A08F0}"/>
    <cellStyle name="Percent 3" xfId="10" xr:uid="{6EB14D9B-1AE7-4637-8E88-C2C10F3B5165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Admin%20Dept\Finance\FY%2025-26\Monthly%20Consolidation\20253107_Omnitronics%20SoftCom%20Consolidation%20v2.xlsx" TargetMode="External"/><Relationship Id="rId1" Type="http://schemas.openxmlformats.org/officeDocument/2006/relationships/externalLinkPath" Target="file:///G:\Admin%20Dept\Finance\FY%2025-26\Monthly%20Consolidation\20253107_Omnitronics%20SoftCom%20Consolidation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TD Fluxes"/>
      <sheetName val="P&amp;L,BS &amp; CFS"/>
      <sheetName val="Deck - GP"/>
      <sheetName val="TP_UT"/>
      <sheetName val="Inventory Elim Notes"/>
      <sheetName val="Revenue &amp; COGS"/>
      <sheetName val="Deck - M2M "/>
      <sheetName val="0725 Consol"/>
      <sheetName val="0725 CFS"/>
      <sheetName val="0625 Consol"/>
      <sheetName val="0625 CFS"/>
      <sheetName val="0525 Consol"/>
      <sheetName val="0525 CFS"/>
      <sheetName val="Omni Inc SOH elimination"/>
      <sheetName val="Omni Inc Eliminations"/>
      <sheetName val="KPI"/>
      <sheetName val="Budget Summary"/>
      <sheetName val="Budget FY26"/>
      <sheetName val="Equity Rfwd"/>
      <sheetName val="SMA"/>
      <sheetName val="Source Data &gt;&gt;&gt;"/>
      <sheetName val="Full Year "/>
      <sheetName val="UT Balance Sheet 24-25"/>
      <sheetName val="UT P&amp;L 24-25"/>
      <sheetName val="Inc by mth (USD)"/>
      <sheetName val="Inc Balance Sheet 2024-25"/>
      <sheetName val="Inc P&amp;L 24-25"/>
      <sheetName val="Dev TB 0725_0626"/>
      <sheetName val="Rent WA"/>
      <sheetName val="Inventory Valuation"/>
      <sheetName val="INC Map"/>
      <sheetName val="UT Map"/>
      <sheetName val="Proced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A2" t="str">
            <v>Account #</v>
          </cell>
          <cell r="B2" t="str">
            <v>Account</v>
          </cell>
          <cell r="C2" t="str">
            <v>Type</v>
          </cell>
        </row>
        <row r="3">
          <cell r="A3">
            <v>10000</v>
          </cell>
          <cell r="B3" t="str">
            <v>Sales</v>
          </cell>
          <cell r="C3" t="str">
            <v>Income</v>
          </cell>
          <cell r="D3" t="str">
            <v>Hardware sales</v>
          </cell>
        </row>
        <row r="4">
          <cell r="A4">
            <v>10001</v>
          </cell>
          <cell r="B4" t="str">
            <v>Sales:RoIP Products</v>
          </cell>
          <cell r="C4" t="str">
            <v>Income</v>
          </cell>
          <cell r="D4" t="str">
            <v>Hardware sales</v>
          </cell>
        </row>
        <row r="5">
          <cell r="A5">
            <v>10002</v>
          </cell>
          <cell r="B5" t="str">
            <v>Sales:Bridge Products</v>
          </cell>
          <cell r="C5" t="str">
            <v>Income</v>
          </cell>
          <cell r="D5" t="str">
            <v>Hardware sales</v>
          </cell>
        </row>
        <row r="6">
          <cell r="A6">
            <v>10003</v>
          </cell>
          <cell r="B6" t="str">
            <v>Sales:900 Series Interfaces</v>
          </cell>
          <cell r="C6" t="str">
            <v>Income</v>
          </cell>
          <cell r="D6" t="str">
            <v>Hardware sales</v>
          </cell>
        </row>
        <row r="7">
          <cell r="A7">
            <v>10004</v>
          </cell>
          <cell r="B7" t="str">
            <v>Sales:960 Handsets &amp; Consoles</v>
          </cell>
          <cell r="C7" t="str">
            <v>Income</v>
          </cell>
          <cell r="D7" t="str">
            <v>Hardware sales</v>
          </cell>
        </row>
        <row r="8">
          <cell r="A8">
            <v>10005</v>
          </cell>
          <cell r="B8" t="str">
            <v>Sales:950 Radio Management System</v>
          </cell>
          <cell r="C8" t="str">
            <v>Income</v>
          </cell>
          <cell r="D8" t="str">
            <v>Hardware sales</v>
          </cell>
        </row>
        <row r="9">
          <cell r="A9">
            <v>10006</v>
          </cell>
          <cell r="B9" t="str">
            <v>Sales:950 Radio Management System II</v>
          </cell>
          <cell r="C9" t="str">
            <v>Income</v>
          </cell>
          <cell r="D9" t="str">
            <v>Hardware sales</v>
          </cell>
        </row>
        <row r="10">
          <cell r="A10">
            <v>10007</v>
          </cell>
          <cell r="B10" t="str">
            <v>Sales:DX SERIES DIGITAL RADIO</v>
          </cell>
          <cell r="C10" t="str">
            <v>Income</v>
          </cell>
          <cell r="D10" t="str">
            <v>Hardware sales</v>
          </cell>
        </row>
        <row r="11">
          <cell r="A11">
            <v>10020</v>
          </cell>
          <cell r="B11" t="str">
            <v>Hardware Sales</v>
          </cell>
          <cell r="C11" t="str">
            <v>Income</v>
          </cell>
          <cell r="D11" t="str">
            <v>Hardware sales</v>
          </cell>
        </row>
        <row r="12">
          <cell r="A12">
            <v>10008</v>
          </cell>
          <cell r="B12" t="str">
            <v>Sales:Support &amp; Maintenance</v>
          </cell>
          <cell r="C12" t="str">
            <v>Income</v>
          </cell>
          <cell r="D12" t="str">
            <v>Maintenance services</v>
          </cell>
        </row>
        <row r="13">
          <cell r="A13">
            <v>10009</v>
          </cell>
          <cell r="B13" t="str">
            <v>Sales:Services</v>
          </cell>
          <cell r="C13" t="str">
            <v>Income</v>
          </cell>
          <cell r="D13" t="str">
            <v>Support services</v>
          </cell>
        </row>
        <row r="14">
          <cell r="A14">
            <v>10010</v>
          </cell>
          <cell r="B14" t="str">
            <v>Sales:RediTALK</v>
          </cell>
          <cell r="C14" t="str">
            <v>Income</v>
          </cell>
          <cell r="D14" t="str">
            <v>License fees</v>
          </cell>
        </row>
        <row r="15">
          <cell r="A15">
            <v>10011</v>
          </cell>
          <cell r="B15" t="str">
            <v>Sales:omnigate</v>
          </cell>
          <cell r="C15" t="str">
            <v>Income</v>
          </cell>
          <cell r="D15" t="str">
            <v>Hardware sales</v>
          </cell>
        </row>
        <row r="16">
          <cell r="A16">
            <v>10013</v>
          </cell>
          <cell r="B16" t="str">
            <v>Sales:AGPS</v>
          </cell>
          <cell r="C16" t="str">
            <v>Income</v>
          </cell>
          <cell r="D16" t="str">
            <v>License fees</v>
          </cell>
        </row>
        <row r="17">
          <cell r="A17">
            <v>10019</v>
          </cell>
          <cell r="B17" t="str">
            <v>Sales:Miscellaneous Item Sales</v>
          </cell>
          <cell r="C17" t="str">
            <v>Income</v>
          </cell>
          <cell r="D17" t="str">
            <v>Third Party Sales</v>
          </cell>
        </row>
        <row r="18">
          <cell r="A18">
            <v>10070</v>
          </cell>
          <cell r="B18" t="str">
            <v>RMA Sales</v>
          </cell>
          <cell r="C18" t="str">
            <v>Income</v>
          </cell>
          <cell r="D18" t="str">
            <v>Maintenance services</v>
          </cell>
        </row>
        <row r="19">
          <cell r="A19">
            <v>10050</v>
          </cell>
          <cell r="B19" t="str">
            <v>Sales:omnicore Sales</v>
          </cell>
          <cell r="C19" t="str">
            <v>Income</v>
          </cell>
          <cell r="D19" t="str">
            <v>License fees</v>
          </cell>
        </row>
        <row r="20">
          <cell r="A20">
            <v>10199</v>
          </cell>
          <cell r="B20" t="str">
            <v>Sales:Sales Discounts</v>
          </cell>
          <cell r="C20" t="str">
            <v>Income</v>
          </cell>
          <cell r="D20" t="str">
            <v>Hardware sales</v>
          </cell>
        </row>
        <row r="21">
          <cell r="A21">
            <v>10599</v>
          </cell>
          <cell r="B21" t="str">
            <v>Loan items for return</v>
          </cell>
          <cell r="C21" t="str">
            <v>Income</v>
          </cell>
          <cell r="D21" t="str">
            <v>Other Revenue</v>
          </cell>
        </row>
        <row r="22">
          <cell r="A22">
            <v>10700</v>
          </cell>
          <cell r="B22" t="str">
            <v>Freight Recovery</v>
          </cell>
          <cell r="C22" t="str">
            <v>Income</v>
          </cell>
          <cell r="D22" t="str">
            <v>Other Revenue</v>
          </cell>
        </row>
        <row r="23">
          <cell r="A23">
            <v>12000</v>
          </cell>
          <cell r="B23" t="str">
            <v>Restocking Fees</v>
          </cell>
          <cell r="C23" t="str">
            <v>Income</v>
          </cell>
          <cell r="D23" t="str">
            <v>Other Revenue</v>
          </cell>
        </row>
        <row r="24">
          <cell r="A24">
            <v>12100</v>
          </cell>
          <cell r="B24" t="str">
            <v>Exchange/Repair Items</v>
          </cell>
          <cell r="C24" t="str">
            <v>Income</v>
          </cell>
          <cell r="D24" t="str">
            <v>Other Revenue</v>
          </cell>
        </row>
        <row r="25">
          <cell r="A25">
            <v>19998</v>
          </cell>
          <cell r="B25" t="str">
            <v>Unapplied Cash Payment Income</v>
          </cell>
          <cell r="C25" t="str">
            <v>Income</v>
          </cell>
          <cell r="D25" t="str">
            <v>Other Revenue</v>
          </cell>
        </row>
        <row r="26">
          <cell r="A26">
            <v>19999</v>
          </cell>
          <cell r="B26" t="str">
            <v>Uncategorized Income</v>
          </cell>
          <cell r="C26" t="str">
            <v>Income</v>
          </cell>
          <cell r="D26" t="str">
            <v>Other Revenue</v>
          </cell>
        </row>
        <row r="27">
          <cell r="A27">
            <v>21100</v>
          </cell>
          <cell r="B27" t="str">
            <v>Direct Deposit Liabilities</v>
          </cell>
          <cell r="C27" t="str">
            <v>Other Current Liabilities</v>
          </cell>
          <cell r="D27" t="str">
            <v>Other Payables</v>
          </cell>
        </row>
        <row r="28">
          <cell r="A28">
            <v>21105</v>
          </cell>
          <cell r="B28" t="str">
            <v>Deposits Received</v>
          </cell>
          <cell r="C28" t="str">
            <v>Other Current Liabilities</v>
          </cell>
          <cell r="D28" t="str">
            <v>Customers' Deposits</v>
          </cell>
        </row>
        <row r="29">
          <cell r="A29">
            <v>21106</v>
          </cell>
          <cell r="B29" t="str">
            <v>SMA Income in Advance</v>
          </cell>
          <cell r="C29" t="str">
            <v>Other Current Liabilities</v>
          </cell>
          <cell r="D29" t="str">
            <v>Deferred Income</v>
          </cell>
        </row>
        <row r="30">
          <cell r="A30">
            <v>24000</v>
          </cell>
          <cell r="B30" t="str">
            <v>Payroll Liabilities</v>
          </cell>
          <cell r="C30" t="str">
            <v>Other Current Liabilities</v>
          </cell>
          <cell r="D30" t="str">
            <v>Other Payables</v>
          </cell>
        </row>
        <row r="31">
          <cell r="A31">
            <v>24001</v>
          </cell>
          <cell r="B31" t="str">
            <v>Payroll Liabilities:RI Income Tax</v>
          </cell>
          <cell r="C31" t="str">
            <v>Other Current Liabilities</v>
          </cell>
          <cell r="D31" t="str">
            <v>Tax Payables</v>
          </cell>
        </row>
        <row r="32">
          <cell r="A32">
            <v>24002</v>
          </cell>
          <cell r="B32" t="str">
            <v>Payroll Liabilities:FL Department of Revenue Payable</v>
          </cell>
          <cell r="C32" t="str">
            <v>Other Current Liabilities</v>
          </cell>
          <cell r="D32" t="str">
            <v>Other Payables</v>
          </cell>
        </row>
        <row r="33">
          <cell r="A33">
            <v>24003</v>
          </cell>
          <cell r="B33" t="str">
            <v>Payroll Liabilities:MS Income Tax</v>
          </cell>
          <cell r="C33" t="str">
            <v>Other Current Liabilities</v>
          </cell>
          <cell r="D33" t="str">
            <v>Tax Payables</v>
          </cell>
        </row>
        <row r="34">
          <cell r="A34">
            <v>24004</v>
          </cell>
          <cell r="B34" t="str">
            <v>Payroll Liabilities:MS Unemployment Tax</v>
          </cell>
          <cell r="C34" t="str">
            <v>Other Current Liabilities</v>
          </cell>
          <cell r="D34" t="str">
            <v>Other Payables</v>
          </cell>
        </row>
        <row r="35">
          <cell r="A35">
            <v>24005</v>
          </cell>
          <cell r="B35" t="str">
            <v>Payroll Liabilities:VA Income Tax</v>
          </cell>
          <cell r="C35" t="str">
            <v>Other Current Liabilities</v>
          </cell>
          <cell r="D35" t="str">
            <v>Tax Payables</v>
          </cell>
        </row>
        <row r="36">
          <cell r="A36">
            <v>24007</v>
          </cell>
          <cell r="B36" t="str">
            <v>Payroll Liabilities:VA SUI Employer</v>
          </cell>
          <cell r="C36" t="str">
            <v>Other Current Liabilities</v>
          </cell>
          <cell r="D36" t="str">
            <v>Other Payables</v>
          </cell>
        </row>
        <row r="37">
          <cell r="A37">
            <v>24008</v>
          </cell>
          <cell r="B37" t="str">
            <v>Payroll Liabilities:IL Income Tax</v>
          </cell>
          <cell r="C37" t="str">
            <v>Other Current Liabilities</v>
          </cell>
          <cell r="D37" t="str">
            <v>Tax Payables</v>
          </cell>
        </row>
        <row r="38">
          <cell r="A38">
            <v>24009</v>
          </cell>
          <cell r="B38" t="str">
            <v>Payroll Liabilities:IL Unemployment Tax</v>
          </cell>
          <cell r="C38" t="str">
            <v>Other Current Liabilities</v>
          </cell>
          <cell r="D38" t="str">
            <v>Other Payables</v>
          </cell>
        </row>
        <row r="39">
          <cell r="A39">
            <v>24010</v>
          </cell>
          <cell r="B39" t="str">
            <v>24010LAIncomeTax</v>
          </cell>
          <cell r="C39" t="str">
            <v>Other Current Liabilities</v>
          </cell>
          <cell r="D39" t="str">
            <v>Tax Payables</v>
          </cell>
        </row>
        <row r="40">
          <cell r="A40">
            <v>24011</v>
          </cell>
          <cell r="B40" t="str">
            <v>24011LAUnemploymentTax</v>
          </cell>
          <cell r="C40" t="str">
            <v>Other Current Liabilities</v>
          </cell>
          <cell r="D40" t="str">
            <v>Other Payables</v>
          </cell>
        </row>
        <row r="41">
          <cell r="A41">
            <v>24050</v>
          </cell>
          <cell r="B41" t="str">
            <v>Payroll Liabilities:MetLife</v>
          </cell>
          <cell r="C41" t="str">
            <v>Other Current Liabilities</v>
          </cell>
          <cell r="D41" t="str">
            <v>Other Payables</v>
          </cell>
        </row>
        <row r="42">
          <cell r="A42">
            <v>24100</v>
          </cell>
          <cell r="B42" t="str">
            <v>Payroll Liabilities:Federal payroll liability</v>
          </cell>
          <cell r="C42" t="str">
            <v>Other Current Liabilities</v>
          </cell>
          <cell r="D42" t="str">
            <v>Other Payables</v>
          </cell>
        </row>
        <row r="43">
          <cell r="A43">
            <v>24200</v>
          </cell>
          <cell r="B43" t="str">
            <v>Payroll Liabilities:State SUI Payroll</v>
          </cell>
          <cell r="C43" t="str">
            <v>Other Current Liabilities</v>
          </cell>
          <cell r="D43" t="str">
            <v>Other Payables</v>
          </cell>
        </row>
        <row r="44">
          <cell r="A44">
            <v>24300</v>
          </cell>
          <cell r="B44" t="str">
            <v>Payroll Liabilities:Health Insurance-1</v>
          </cell>
          <cell r="C44" t="str">
            <v>Other Current Liabilities</v>
          </cell>
          <cell r="D44" t="str">
            <v>Other Payables</v>
          </cell>
        </row>
        <row r="45">
          <cell r="A45">
            <v>24499</v>
          </cell>
          <cell r="B45" t="str">
            <v>Payroll Liabilities:Direct Deposit Payable</v>
          </cell>
          <cell r="C45" t="str">
            <v>Other Current Liabilities</v>
          </cell>
          <cell r="D45" t="str">
            <v>Other Payables</v>
          </cell>
        </row>
        <row r="46">
          <cell r="A46">
            <v>24500</v>
          </cell>
          <cell r="B46" t="str">
            <v>Payroll Liabilities:Payroll Accrual</v>
          </cell>
          <cell r="C46" t="str">
            <v>Other Current Liabilities</v>
          </cell>
          <cell r="D46" t="str">
            <v>Other Payables</v>
          </cell>
        </row>
        <row r="47">
          <cell r="A47">
            <v>24550</v>
          </cell>
          <cell r="B47" t="str">
            <v>Payroll Liabilities:Commissions Payable</v>
          </cell>
          <cell r="C47" t="str">
            <v>Other Current Liabilities</v>
          </cell>
          <cell r="D47" t="str">
            <v>Other Payables</v>
          </cell>
        </row>
        <row r="48">
          <cell r="A48">
            <v>25500</v>
          </cell>
          <cell r="B48" t="str">
            <v>Sales Tax Payable</v>
          </cell>
          <cell r="C48" t="str">
            <v>Other Current Liabilities</v>
          </cell>
          <cell r="D48" t="str">
            <v>Other Payables</v>
          </cell>
        </row>
        <row r="49">
          <cell r="A49">
            <v>25501</v>
          </cell>
          <cell r="B49" t="str">
            <v>Sales Tax Payable:Florida Department of Revenue Payable</v>
          </cell>
          <cell r="C49" t="str">
            <v>Other Current Liabilities</v>
          </cell>
          <cell r="D49" t="str">
            <v>Other Payables</v>
          </cell>
        </row>
        <row r="50">
          <cell r="A50">
            <v>25502</v>
          </cell>
          <cell r="B50" t="str">
            <v>Sales Tax Payable:Boston Payable</v>
          </cell>
          <cell r="C50" t="str">
            <v>Other Current Liabilities</v>
          </cell>
          <cell r="D50" t="str">
            <v>Other Payables</v>
          </cell>
        </row>
        <row r="51">
          <cell r="A51">
            <v>25503</v>
          </cell>
          <cell r="B51" t="str">
            <v>Sales Tax Payable:NC Department of Revenue Payable</v>
          </cell>
          <cell r="C51" t="str">
            <v>Other Current Liabilities</v>
          </cell>
          <cell r="D51" t="str">
            <v>Other Payables</v>
          </cell>
        </row>
        <row r="52">
          <cell r="A52">
            <v>25504</v>
          </cell>
          <cell r="B52" t="str">
            <v>Sales Tax Payable:Indiana Department of Revenue Payable</v>
          </cell>
          <cell r="C52" t="str">
            <v>Other Current Liabilities</v>
          </cell>
          <cell r="D52" t="str">
            <v>Other Payables</v>
          </cell>
        </row>
        <row r="53">
          <cell r="A53">
            <v>25505</v>
          </cell>
          <cell r="B53" t="str">
            <v>Sales Tax Payable:New York State Department of Tax &amp; Finance Payable</v>
          </cell>
          <cell r="C53" t="str">
            <v>Other Current Liabilities</v>
          </cell>
          <cell r="D53" t="str">
            <v>Other Payables</v>
          </cell>
        </row>
        <row r="54">
          <cell r="A54">
            <v>25506</v>
          </cell>
          <cell r="B54" t="str">
            <v>Sales Tax Payable:Ohio Payable</v>
          </cell>
          <cell r="C54" t="str">
            <v>Other Current Liabilities</v>
          </cell>
          <cell r="D54" t="str">
            <v>Other Payables</v>
          </cell>
        </row>
        <row r="55">
          <cell r="A55">
            <v>25507</v>
          </cell>
          <cell r="B55" t="str">
            <v>Sales Tax Payable:Arkansas Payable</v>
          </cell>
          <cell r="C55" t="str">
            <v>Other Current Liabilities</v>
          </cell>
          <cell r="D55" t="str">
            <v>Other Payables</v>
          </cell>
        </row>
        <row r="56">
          <cell r="A56">
            <v>25508</v>
          </cell>
          <cell r="B56" t="str">
            <v>Sales Tax Payable:State of North Carolina Payable</v>
          </cell>
          <cell r="C56" t="str">
            <v>Other Current Liabilities</v>
          </cell>
          <cell r="D56" t="str">
            <v>Other Payables</v>
          </cell>
        </row>
        <row r="57">
          <cell r="A57">
            <v>25509</v>
          </cell>
          <cell r="B57" t="str">
            <v>Sales Tax Payable:WA Payable</v>
          </cell>
          <cell r="C57" t="str">
            <v>Other Current Liabilities</v>
          </cell>
          <cell r="D57" t="str">
            <v>Other Payables</v>
          </cell>
        </row>
        <row r="58">
          <cell r="A58">
            <v>25510</v>
          </cell>
          <cell r="B58" t="str">
            <v>Sales Tax Payable:Rhode Island Department of Revenue Payable</v>
          </cell>
          <cell r="C58" t="str">
            <v>Other Current Liabilities</v>
          </cell>
          <cell r="D58" t="str">
            <v>Other Payables</v>
          </cell>
        </row>
        <row r="59">
          <cell r="A59">
            <v>25511</v>
          </cell>
          <cell r="B59" t="str">
            <v>25511CaliforniaDepartmentofTaxandFeeAdministrationPayable</v>
          </cell>
          <cell r="C59" t="str">
            <v>Other Current Liabilities</v>
          </cell>
          <cell r="D59" t="str">
            <v>Other Payables</v>
          </cell>
        </row>
        <row r="60">
          <cell r="A60">
            <v>25512</v>
          </cell>
          <cell r="B60" t="str">
            <v>25512NEWJERSEYDIVISIONOFREVENUEPayable</v>
          </cell>
          <cell r="C60" t="str">
            <v>Other Current Liabilities</v>
          </cell>
          <cell r="D60" t="str">
            <v>Other Payables</v>
          </cell>
        </row>
        <row r="61">
          <cell r="A61">
            <v>25513</v>
          </cell>
          <cell r="B61" t="str">
            <v>25513WyomingDepartmentofRevenuePayable</v>
          </cell>
          <cell r="C61" t="str">
            <v>Other Current Liabilities</v>
          </cell>
          <cell r="D61" t="str">
            <v>Other Payables</v>
          </cell>
        </row>
        <row r="62">
          <cell r="A62">
            <v>25520</v>
          </cell>
          <cell r="B62" t="str">
            <v>Sales Tax Payable:Out Of Scope Agency Payable</v>
          </cell>
          <cell r="C62" t="str">
            <v>Other Current Liabilities</v>
          </cell>
          <cell r="D62" t="str">
            <v>Other Payables</v>
          </cell>
        </row>
        <row r="63">
          <cell r="A63">
            <v>25530</v>
          </cell>
          <cell r="B63" t="str">
            <v>Sales Tax Payable:Sales Tax Agency Payable</v>
          </cell>
          <cell r="C63" t="str">
            <v>Other Current Liabilities</v>
          </cell>
          <cell r="D63" t="str">
            <v>Other Payables</v>
          </cell>
        </row>
        <row r="64">
          <cell r="A64">
            <v>25540</v>
          </cell>
          <cell r="B64" t="str">
            <v>Sales Tax Payable:Reseller Payable</v>
          </cell>
          <cell r="C64" t="str">
            <v>Other Current Liabilities</v>
          </cell>
          <cell r="D64" t="str">
            <v>Other Payables</v>
          </cell>
        </row>
        <row r="65">
          <cell r="A65">
            <v>25550</v>
          </cell>
          <cell r="B65" t="str">
            <v>Sales Tax Payable:Argentinia Payable</v>
          </cell>
          <cell r="C65" t="str">
            <v>Other Current Liabilities</v>
          </cell>
          <cell r="D65" t="str">
            <v>Other Payables</v>
          </cell>
        </row>
        <row r="66">
          <cell r="A66">
            <v>26000</v>
          </cell>
          <cell r="B66" t="str">
            <v>Income Tax Payable</v>
          </cell>
          <cell r="C66" t="str">
            <v>Other Current Liabilities</v>
          </cell>
          <cell r="D66" t="str">
            <v>Other Payables</v>
          </cell>
        </row>
        <row r="67">
          <cell r="A67">
            <v>25700</v>
          </cell>
          <cell r="B67" t="str">
            <v>Accrued Expenses</v>
          </cell>
          <cell r="C67" t="str">
            <v>Other Current Liabilities</v>
          </cell>
          <cell r="D67" t="str">
            <v>Accrued Expenses</v>
          </cell>
        </row>
        <row r="68">
          <cell r="A68">
            <v>28000</v>
          </cell>
          <cell r="B68" t="str">
            <v>Loan - Omnitronics Australia</v>
          </cell>
          <cell r="C68" t="str">
            <v>Other Current Liabilities</v>
          </cell>
          <cell r="D68" t="str">
            <v>Loan to Associated Companies &amp; JVs</v>
          </cell>
        </row>
        <row r="69">
          <cell r="A69">
            <v>30000</v>
          </cell>
          <cell r="B69" t="str">
            <v>Opening Balance Equity</v>
          </cell>
          <cell r="C69" t="str">
            <v>Equity</v>
          </cell>
          <cell r="D69" t="str">
            <v>Retained Earnings</v>
          </cell>
        </row>
        <row r="70">
          <cell r="A70">
            <v>31400</v>
          </cell>
          <cell r="B70" t="str">
            <v>Shareholder Distributions</v>
          </cell>
          <cell r="C70" t="str">
            <v>Equity</v>
          </cell>
          <cell r="D70" t="str">
            <v>Retained Earnings</v>
          </cell>
        </row>
        <row r="71">
          <cell r="A71">
            <v>39000</v>
          </cell>
          <cell r="B71" t="str">
            <v>Capital Stock</v>
          </cell>
          <cell r="C71" t="str">
            <v>Equity</v>
          </cell>
          <cell r="D71" t="str">
            <v>Ordinary Issued Share Capital</v>
          </cell>
        </row>
        <row r="72">
          <cell r="A72">
            <v>39100</v>
          </cell>
          <cell r="B72" t="str">
            <v>Dividends Paid</v>
          </cell>
          <cell r="C72" t="str">
            <v>Equity</v>
          </cell>
          <cell r="D72" t="str">
            <v>Share Premium</v>
          </cell>
        </row>
        <row r="73">
          <cell r="A73">
            <v>39200</v>
          </cell>
          <cell r="B73" t="str">
            <v>Retained Earnings</v>
          </cell>
          <cell r="C73" t="str">
            <v>Equity</v>
          </cell>
          <cell r="D73" t="str">
            <v>Retained Earnings</v>
          </cell>
        </row>
        <row r="74">
          <cell r="A74">
            <v>40001</v>
          </cell>
          <cell r="B74" t="str">
            <v>Cost of Goods Sold</v>
          </cell>
          <cell r="C74" t="str">
            <v>Cost of Goods Sold</v>
          </cell>
          <cell r="D74" t="str">
            <v>COGS - Direct Costs</v>
          </cell>
        </row>
        <row r="75">
          <cell r="A75">
            <v>40009</v>
          </cell>
          <cell r="B75" t="str">
            <v>40009 Project Services</v>
          </cell>
          <cell r="C75" t="str">
            <v>Cost of Goods Sold</v>
          </cell>
          <cell r="D75" t="str">
            <v>COGS - Direct Costs</v>
          </cell>
        </row>
        <row r="76">
          <cell r="A76">
            <v>40011</v>
          </cell>
          <cell r="B76" t="str">
            <v>Cost of Goods Sold:omnigate COGS</v>
          </cell>
          <cell r="C76" t="str">
            <v>Cost of Goods Sold</v>
          </cell>
          <cell r="D76" t="str">
            <v>COGS - Direct Costs</v>
          </cell>
        </row>
        <row r="77">
          <cell r="A77">
            <v>40020</v>
          </cell>
          <cell r="B77" t="str">
            <v>Hardware COGS</v>
          </cell>
          <cell r="C77" t="str">
            <v>Cost of Goods Sold</v>
          </cell>
          <cell r="D77" t="str">
            <v>COGS - Direct Costs</v>
          </cell>
        </row>
        <row r="78">
          <cell r="A78">
            <v>40050</v>
          </cell>
          <cell r="B78" t="str">
            <v>Cost of Goods Sold:omnicore Dispatch</v>
          </cell>
          <cell r="C78" t="str">
            <v>Cost of Goods Sold</v>
          </cell>
          <cell r="D78" t="str">
            <v>COGS - Direct Costs</v>
          </cell>
        </row>
        <row r="79">
          <cell r="A79">
            <v>40070</v>
          </cell>
          <cell r="B79" t="str">
            <v>40070 RMA COGS</v>
          </cell>
          <cell r="C79" t="str">
            <v>Cost of Goods Sold</v>
          </cell>
          <cell r="D79" t="str">
            <v>COGS - Direct Costs</v>
          </cell>
        </row>
        <row r="80">
          <cell r="A80">
            <v>41001</v>
          </cell>
          <cell r="B80" t="str">
            <v>Cost of Goods Sold:RoIP Products</v>
          </cell>
          <cell r="C80" t="str">
            <v>Cost of Goods Sold</v>
          </cell>
          <cell r="D80" t="str">
            <v>COGS - Direct Costs</v>
          </cell>
        </row>
        <row r="81">
          <cell r="A81">
            <v>41002</v>
          </cell>
          <cell r="B81" t="str">
            <v>Cost of Goods Sold:Bridge Products</v>
          </cell>
          <cell r="C81" t="str">
            <v>Cost of Goods Sold</v>
          </cell>
          <cell r="D81" t="str">
            <v>COGS - Direct Costs</v>
          </cell>
        </row>
        <row r="82">
          <cell r="A82">
            <v>41003</v>
          </cell>
          <cell r="B82" t="str">
            <v>Cost of Goods Sold:900 Series Interfaces</v>
          </cell>
          <cell r="C82" t="str">
            <v>Cost of Goods Sold</v>
          </cell>
          <cell r="D82" t="str">
            <v>COGS - Direct Costs</v>
          </cell>
        </row>
        <row r="83">
          <cell r="A83">
            <v>41004</v>
          </cell>
          <cell r="B83" t="str">
            <v>Cost of Goods Sold:960 Handsets &amp; Consoles</v>
          </cell>
          <cell r="C83" t="str">
            <v>Cost of Goods Sold</v>
          </cell>
          <cell r="D83" t="str">
            <v>COGS - Direct Costs</v>
          </cell>
        </row>
        <row r="84">
          <cell r="A84">
            <v>41005</v>
          </cell>
          <cell r="B84" t="str">
            <v>Cost of Goods Sold:950 Radio Management System</v>
          </cell>
          <cell r="C84" t="str">
            <v>Cost of Goods Sold</v>
          </cell>
          <cell r="D84" t="str">
            <v>COGS - Direct Costs</v>
          </cell>
        </row>
        <row r="85">
          <cell r="A85">
            <v>41006</v>
          </cell>
          <cell r="B85" t="str">
            <v>Cost of Goods Sold:950 Radio Management System II</v>
          </cell>
          <cell r="C85" t="str">
            <v>Cost of Goods Sold</v>
          </cell>
          <cell r="D85" t="str">
            <v>COGS - Direct Costs</v>
          </cell>
        </row>
        <row r="86">
          <cell r="A86">
            <v>41007</v>
          </cell>
          <cell r="B86" t="str">
            <v>Cost of Goods Sold:DX SERIES DIGITAL RADIO</v>
          </cell>
          <cell r="C86" t="str">
            <v>Cost of Goods Sold</v>
          </cell>
          <cell r="D86" t="str">
            <v>COGS - Direct Costs</v>
          </cell>
        </row>
        <row r="87">
          <cell r="A87">
            <v>41008</v>
          </cell>
          <cell r="B87" t="str">
            <v>Cost of Goods Sold:Misc Parts and Equipment</v>
          </cell>
          <cell r="C87" t="str">
            <v>Cost of Goods Sold</v>
          </cell>
          <cell r="D87" t="str">
            <v>COGS - Direct Costs</v>
          </cell>
        </row>
        <row r="88">
          <cell r="A88">
            <v>41010</v>
          </cell>
          <cell r="B88" t="str">
            <v>Cost of Goods Sold:RediTALK Console GUI</v>
          </cell>
          <cell r="C88" t="str">
            <v>Cost of Goods Sold</v>
          </cell>
          <cell r="D88" t="str">
            <v>COGS - Direct Costs</v>
          </cell>
        </row>
        <row r="89">
          <cell r="A89">
            <v>41013</v>
          </cell>
          <cell r="B89" t="str">
            <v>Cost of Goods Sold:AGPS COG</v>
          </cell>
          <cell r="C89" t="str">
            <v>Cost of Goods Sold</v>
          </cell>
          <cell r="D89" t="str">
            <v>COGS - Direct Costs</v>
          </cell>
        </row>
        <row r="90">
          <cell r="A90">
            <v>41090</v>
          </cell>
          <cell r="B90" t="str">
            <v>Inventory Shrinkage</v>
          </cell>
          <cell r="C90" t="str">
            <v>Cost of Goods Sold</v>
          </cell>
          <cell r="D90" t="str">
            <v>COGS - Other Costs</v>
          </cell>
        </row>
        <row r="91">
          <cell r="A91">
            <v>41091</v>
          </cell>
          <cell r="B91" t="str">
            <v xml:space="preserve">  Inventory Damage/ Loss</v>
          </cell>
          <cell r="C91" t="str">
            <v>Cost of Goods Sold</v>
          </cell>
          <cell r="D91" t="str">
            <v>COGS - Other Costs</v>
          </cell>
        </row>
        <row r="92">
          <cell r="A92">
            <v>41099</v>
          </cell>
          <cell r="B92" t="str">
            <v>Loan System to be returned (Cost)</v>
          </cell>
          <cell r="C92" t="str">
            <v>Cost of Goods Sold</v>
          </cell>
          <cell r="D92" t="str">
            <v>COGS - Direct Costs</v>
          </cell>
        </row>
        <row r="93">
          <cell r="A93">
            <v>41100</v>
          </cell>
          <cell r="B93" t="str">
            <v>Freight charges</v>
          </cell>
          <cell r="C93" t="str">
            <v>Cost of Goods Sold</v>
          </cell>
          <cell r="D93" t="str">
            <v>COGS - Other Costs</v>
          </cell>
        </row>
        <row r="94">
          <cell r="A94">
            <v>42100</v>
          </cell>
          <cell r="B94" t="str">
            <v>Exchange/Repair COGS</v>
          </cell>
          <cell r="C94" t="str">
            <v>Cost of Goods Sold</v>
          </cell>
          <cell r="D94" t="str">
            <v>COGS - Other Costs</v>
          </cell>
        </row>
        <row r="95">
          <cell r="A95">
            <v>45000</v>
          </cell>
          <cell r="B95" t="str">
            <v>Services &amp; Support</v>
          </cell>
          <cell r="C95" t="str">
            <v>Cost of Goods Sold</v>
          </cell>
          <cell r="D95" t="str">
            <v>COGS - Direct Costs</v>
          </cell>
        </row>
        <row r="96">
          <cell r="A96">
            <v>11100</v>
          </cell>
          <cell r="B96" t="str">
            <v>Inventory Revaluation Expense</v>
          </cell>
          <cell r="C96" t="str">
            <v>Cost of Goods Sold</v>
          </cell>
          <cell r="D96" t="str">
            <v>COGS - Other Costs</v>
          </cell>
        </row>
        <row r="97">
          <cell r="A97">
            <v>60000</v>
          </cell>
          <cell r="B97" t="str">
            <v>Marketing</v>
          </cell>
          <cell r="C97" t="str">
            <v>Expenses</v>
          </cell>
          <cell r="D97" t="str">
            <v>Marketing &amp; Market Research</v>
          </cell>
        </row>
        <row r="98">
          <cell r="A98">
            <v>60010</v>
          </cell>
          <cell r="B98" t="str">
            <v>Marketing:Advertising &amp; Promotions</v>
          </cell>
          <cell r="C98" t="str">
            <v>Expenses</v>
          </cell>
          <cell r="D98" t="str">
            <v>Marketing &amp; Market Research</v>
          </cell>
        </row>
        <row r="99">
          <cell r="A99">
            <v>60020</v>
          </cell>
          <cell r="B99" t="str">
            <v>Marketing:Trade Shows</v>
          </cell>
          <cell r="C99" t="str">
            <v>Expenses</v>
          </cell>
          <cell r="D99" t="str">
            <v>Marketing &amp; Market Research</v>
          </cell>
        </row>
        <row r="100">
          <cell r="A100">
            <v>60025</v>
          </cell>
          <cell r="B100" t="str">
            <v>Marketing:Printing &amp; Merchandise</v>
          </cell>
          <cell r="C100" t="str">
            <v>Expenses</v>
          </cell>
          <cell r="D100" t="str">
            <v>Marketing &amp; Market Research</v>
          </cell>
        </row>
        <row r="101">
          <cell r="A101">
            <v>60100</v>
          </cell>
          <cell r="B101" t="str">
            <v>Motor Vehicle Expenses</v>
          </cell>
          <cell r="C101" t="str">
            <v>Expenses</v>
          </cell>
          <cell r="D101" t="str">
            <v>General Administrative</v>
          </cell>
        </row>
        <row r="102">
          <cell r="A102">
            <v>60400</v>
          </cell>
          <cell r="B102" t="str">
            <v>Bank Service Charges</v>
          </cell>
          <cell r="C102" t="str">
            <v>Expenses</v>
          </cell>
          <cell r="D102" t="str">
            <v>General Administrative</v>
          </cell>
        </row>
        <row r="103">
          <cell r="A103">
            <v>60401</v>
          </cell>
          <cell r="B103" t="str">
            <v>Bank Service Charges:Merchant Account Fees</v>
          </cell>
          <cell r="C103" t="str">
            <v>Expenses</v>
          </cell>
          <cell r="D103" t="str">
            <v>General Administrative</v>
          </cell>
        </row>
        <row r="104">
          <cell r="A104">
            <v>60402</v>
          </cell>
          <cell r="B104" t="str">
            <v>Bank Service Charges:Interest Expense</v>
          </cell>
          <cell r="C104" t="str">
            <v>Expenses</v>
          </cell>
          <cell r="D104" t="str">
            <v>General Administrative</v>
          </cell>
        </row>
        <row r="105">
          <cell r="A105">
            <v>60403</v>
          </cell>
          <cell r="B105" t="str">
            <v>Bank Service Charges:Payroll Processing Fees</v>
          </cell>
          <cell r="C105" t="str">
            <v>Expenses</v>
          </cell>
          <cell r="D105" t="str">
            <v>General Administrative</v>
          </cell>
        </row>
        <row r="106">
          <cell r="A106">
            <v>60500</v>
          </cell>
          <cell r="B106" t="str">
            <v>Bad Debts Written Off</v>
          </cell>
          <cell r="C106" t="str">
            <v>Expenses</v>
          </cell>
          <cell r="D106" t="str">
            <v>General Administrative</v>
          </cell>
        </row>
        <row r="107">
          <cell r="A107">
            <v>60501</v>
          </cell>
          <cell r="B107" t="str">
            <v>Bad Debt Expense</v>
          </cell>
          <cell r="C107" t="str">
            <v>Expenses</v>
          </cell>
          <cell r="D107" t="str">
            <v>General Administrative</v>
          </cell>
        </row>
        <row r="108">
          <cell r="A108">
            <v>61000</v>
          </cell>
          <cell r="B108" t="str">
            <v>Business Licenses and Permits</v>
          </cell>
          <cell r="C108" t="str">
            <v>Expenses</v>
          </cell>
          <cell r="D108" t="str">
            <v>General Administrative</v>
          </cell>
        </row>
        <row r="109">
          <cell r="A109">
            <v>61700</v>
          </cell>
          <cell r="B109" t="str">
            <v>Computer and Internet Expenses</v>
          </cell>
          <cell r="C109" t="str">
            <v>Expenses</v>
          </cell>
          <cell r="D109" t="str">
            <v>General Administrative</v>
          </cell>
        </row>
        <row r="110">
          <cell r="A110">
            <v>61800</v>
          </cell>
          <cell r="B110" t="str">
            <v>Software Expense</v>
          </cell>
          <cell r="C110" t="str">
            <v>Expenses</v>
          </cell>
          <cell r="D110" t="str">
            <v>General Administrative</v>
          </cell>
        </row>
        <row r="111">
          <cell r="A111">
            <v>62000</v>
          </cell>
          <cell r="B111" t="str">
            <v>Reseller Training Expenses</v>
          </cell>
          <cell r="C111" t="str">
            <v>Expenses</v>
          </cell>
          <cell r="D111" t="str">
            <v>General Administrative</v>
          </cell>
        </row>
        <row r="112">
          <cell r="A112">
            <v>62001</v>
          </cell>
          <cell r="B112" t="str">
            <v>Accounting Fees</v>
          </cell>
          <cell r="C112" t="str">
            <v>Expenses</v>
          </cell>
          <cell r="D112" t="str">
            <v>Professional Services</v>
          </cell>
        </row>
        <row r="113">
          <cell r="A113">
            <v>62002</v>
          </cell>
          <cell r="B113" t="str">
            <v>Corporate &amp; Legal Fees</v>
          </cell>
          <cell r="C113" t="str">
            <v>Expenses</v>
          </cell>
          <cell r="D113" t="str">
            <v>Professional Services</v>
          </cell>
        </row>
        <row r="114">
          <cell r="A114">
            <v>62003</v>
          </cell>
          <cell r="B114" t="str">
            <v>Marketing &amp; Tradeshows</v>
          </cell>
          <cell r="C114" t="str">
            <v>Expenses</v>
          </cell>
          <cell r="D114" t="str">
            <v>Marketing &amp; Market Research</v>
          </cell>
        </row>
        <row r="115">
          <cell r="A115">
            <v>62004</v>
          </cell>
          <cell r="B115" t="str">
            <v>Tradeshow storage &amp; logistics</v>
          </cell>
          <cell r="C115" t="str">
            <v>Expenses</v>
          </cell>
          <cell r="D115" t="str">
            <v>Marketing &amp; Market Research</v>
          </cell>
        </row>
        <row r="116">
          <cell r="A116">
            <v>67501</v>
          </cell>
          <cell r="B116" t="str">
            <v>US Office</v>
          </cell>
          <cell r="C116" t="str">
            <v>Expenses</v>
          </cell>
          <cell r="D116" t="str">
            <v>General Administrative</v>
          </cell>
        </row>
        <row r="117">
          <cell r="A117">
            <v>67502</v>
          </cell>
          <cell r="B117" t="str">
            <v>US Support consultant</v>
          </cell>
          <cell r="C117" t="str">
            <v>Expenses</v>
          </cell>
          <cell r="D117" t="str">
            <v>Professional Services</v>
          </cell>
        </row>
        <row r="118">
          <cell r="A118">
            <v>68201</v>
          </cell>
          <cell r="B118" t="str">
            <v>BusinessDevelopment</v>
          </cell>
          <cell r="C118" t="str">
            <v>Expenses</v>
          </cell>
          <cell r="D118" t="str">
            <v>General Administrative</v>
          </cell>
        </row>
        <row r="119">
          <cell r="A119">
            <v>62100</v>
          </cell>
          <cell r="B119" t="str">
            <v>Seminars &amp; Training</v>
          </cell>
          <cell r="C119" t="str">
            <v>Expenses</v>
          </cell>
          <cell r="D119" t="str">
            <v>Staff Cost</v>
          </cell>
        </row>
        <row r="120">
          <cell r="A120">
            <v>62400</v>
          </cell>
          <cell r="B120" t="str">
            <v>Depreciation Expense</v>
          </cell>
          <cell r="C120" t="str">
            <v>Expenses</v>
          </cell>
          <cell r="D120" t="str">
            <v>SGA - Depreciation</v>
          </cell>
        </row>
        <row r="121">
          <cell r="A121">
            <v>62500</v>
          </cell>
          <cell r="B121" t="str">
            <v>Dues and Subscriptions</v>
          </cell>
          <cell r="C121" t="str">
            <v>Expenses</v>
          </cell>
          <cell r="D121" t="str">
            <v>General Administrative</v>
          </cell>
        </row>
        <row r="122">
          <cell r="A122">
            <v>63300</v>
          </cell>
          <cell r="B122" t="str">
            <v>Insurance Expense</v>
          </cell>
          <cell r="C122" t="str">
            <v>Expenses</v>
          </cell>
          <cell r="D122" t="str">
            <v>General Administrative</v>
          </cell>
        </row>
        <row r="123">
          <cell r="A123">
            <v>63310</v>
          </cell>
          <cell r="B123" t="str">
            <v>Insurance Expense:General Liability Insurance</v>
          </cell>
          <cell r="C123" t="str">
            <v>Expenses</v>
          </cell>
          <cell r="D123" t="str">
            <v>General Administrative</v>
          </cell>
        </row>
        <row r="124">
          <cell r="A124">
            <v>63320</v>
          </cell>
          <cell r="B124" t="str">
            <v>Insurance Expense:Motor Vehicle Insurance</v>
          </cell>
          <cell r="C124" t="str">
            <v>Expenses</v>
          </cell>
          <cell r="D124" t="str">
            <v>General Administrative</v>
          </cell>
        </row>
        <row r="125">
          <cell r="A125">
            <v>63330</v>
          </cell>
          <cell r="B125" t="str">
            <v>Insurance Expense:Life and Disability Insurance</v>
          </cell>
          <cell r="C125" t="str">
            <v>Expenses</v>
          </cell>
          <cell r="D125" t="str">
            <v>General Administrative</v>
          </cell>
        </row>
        <row r="126">
          <cell r="A126">
            <v>63360</v>
          </cell>
          <cell r="B126" t="str">
            <v>Insurance Expense:Worker's Compensation</v>
          </cell>
          <cell r="C126" t="str">
            <v>Expenses</v>
          </cell>
          <cell r="D126" t="str">
            <v>Staff Cost</v>
          </cell>
        </row>
        <row r="127">
          <cell r="A127">
            <v>63370</v>
          </cell>
          <cell r="B127" t="str">
            <v>PropertyInsurance</v>
          </cell>
          <cell r="C127" t="str">
            <v>Expenses</v>
          </cell>
          <cell r="D127" t="str">
            <v>General Administrative</v>
          </cell>
        </row>
        <row r="128">
          <cell r="A128">
            <v>64500</v>
          </cell>
          <cell r="B128" t="str">
            <v>Entertainment</v>
          </cell>
          <cell r="C128" t="str">
            <v>Expenses</v>
          </cell>
          <cell r="D128" t="str">
            <v>General Administrative</v>
          </cell>
        </row>
        <row r="129">
          <cell r="A129">
            <v>64510</v>
          </cell>
          <cell r="B129" t="str">
            <v>Entertainment:Client Entertainment - Local</v>
          </cell>
          <cell r="C129" t="str">
            <v>Expenses</v>
          </cell>
          <cell r="D129" t="str">
            <v>Advertising &amp; Promotion</v>
          </cell>
        </row>
        <row r="130">
          <cell r="A130">
            <v>64520</v>
          </cell>
          <cell r="B130" t="str">
            <v>Entertainment:Staff Entertainment-100% Dedu</v>
          </cell>
          <cell r="C130" t="str">
            <v>Expenses</v>
          </cell>
          <cell r="D130" t="str">
            <v>Staff Cost</v>
          </cell>
        </row>
        <row r="131">
          <cell r="A131">
            <v>64700</v>
          </cell>
          <cell r="B131" t="str">
            <v>Miscellaneous Expense</v>
          </cell>
          <cell r="C131" t="str">
            <v>Expenses</v>
          </cell>
          <cell r="D131" t="str">
            <v>General Administrative</v>
          </cell>
        </row>
        <row r="132">
          <cell r="A132">
            <v>64800</v>
          </cell>
          <cell r="B132" t="str">
            <v>Test Equipment</v>
          </cell>
          <cell r="C132" t="str">
            <v>Expenses</v>
          </cell>
          <cell r="D132" t="str">
            <v>COGS - Other Costs</v>
          </cell>
        </row>
        <row r="133">
          <cell r="A133">
            <v>65000</v>
          </cell>
          <cell r="B133" t="str">
            <v>Taxes Paid</v>
          </cell>
          <cell r="C133" t="str">
            <v>Expenses</v>
          </cell>
          <cell r="D133" t="str">
            <v>Taxes</v>
          </cell>
        </row>
        <row r="134">
          <cell r="A134">
            <v>65050</v>
          </cell>
          <cell r="B134" t="str">
            <v>Taxes Paid:Federal Corporate Tax</v>
          </cell>
          <cell r="C134" t="str">
            <v>Expenses</v>
          </cell>
          <cell r="D134" t="str">
            <v>Taxes</v>
          </cell>
        </row>
        <row r="135">
          <cell r="A135">
            <v>65100</v>
          </cell>
          <cell r="B135" t="str">
            <v>Taxes Paid:Florida Corporate Tax</v>
          </cell>
          <cell r="C135" t="str">
            <v>Expenses</v>
          </cell>
          <cell r="D135" t="str">
            <v>Taxes</v>
          </cell>
        </row>
        <row r="136">
          <cell r="A136">
            <v>65150</v>
          </cell>
          <cell r="B136" t="str">
            <v>Taxes Paid:Foreign tax paid</v>
          </cell>
          <cell r="C136" t="str">
            <v>Expenses</v>
          </cell>
          <cell r="D136" t="str">
            <v>Taxes</v>
          </cell>
        </row>
        <row r="137">
          <cell r="A137">
            <v>65199</v>
          </cell>
          <cell r="B137" t="str">
            <v>Taxes Paid:Miscellaneous Tax</v>
          </cell>
          <cell r="C137" t="str">
            <v>Expenses</v>
          </cell>
          <cell r="D137" t="str">
            <v>Taxes</v>
          </cell>
        </row>
        <row r="138">
          <cell r="A138">
            <v>65701</v>
          </cell>
          <cell r="B138" t="str">
            <v>Taxes Paid:Sales and Use Tax Florida</v>
          </cell>
          <cell r="C138" t="str">
            <v>Expenses</v>
          </cell>
          <cell r="D138" t="str">
            <v>Taxes</v>
          </cell>
        </row>
        <row r="139">
          <cell r="A139">
            <v>66700</v>
          </cell>
          <cell r="B139" t="str">
            <v>Professional Fees</v>
          </cell>
          <cell r="C139" t="str">
            <v>Expenses</v>
          </cell>
          <cell r="D139" t="str">
            <v>Professional Services</v>
          </cell>
        </row>
        <row r="140">
          <cell r="A140">
            <v>66800</v>
          </cell>
          <cell r="B140" t="str">
            <v>Payroll Related Expenses</v>
          </cell>
          <cell r="C140" t="str">
            <v>Expenses</v>
          </cell>
          <cell r="D140" t="str">
            <v>Staff Cost</v>
          </cell>
        </row>
        <row r="141">
          <cell r="A141">
            <v>66801</v>
          </cell>
          <cell r="B141" t="str">
            <v>Payroll Related Expenses:Salaries &amp; Wages</v>
          </cell>
          <cell r="C141" t="str">
            <v>Expenses</v>
          </cell>
          <cell r="D141" t="str">
            <v>Staff Cost</v>
          </cell>
        </row>
        <row r="142">
          <cell r="A142">
            <v>66802</v>
          </cell>
          <cell r="B142" t="str">
            <v>Payroll Related Expenses:Bonus</v>
          </cell>
          <cell r="C142" t="str">
            <v>Expenses</v>
          </cell>
          <cell r="D142" t="str">
            <v>Staff Cost</v>
          </cell>
        </row>
        <row r="143">
          <cell r="A143">
            <v>66803</v>
          </cell>
          <cell r="B143" t="str">
            <v>Payroll Related Expenses:Paid Time Off</v>
          </cell>
          <cell r="C143" t="str">
            <v>Expenses</v>
          </cell>
          <cell r="D143" t="str">
            <v>Staff Cost</v>
          </cell>
        </row>
        <row r="144">
          <cell r="A144">
            <v>66804</v>
          </cell>
          <cell r="B144" t="str">
            <v>Payroll Related Expenses:In Lieu of Notice</v>
          </cell>
          <cell r="C144" t="str">
            <v>Expenses</v>
          </cell>
          <cell r="D144" t="str">
            <v>Staff Cost</v>
          </cell>
        </row>
        <row r="145">
          <cell r="A145">
            <v>66805</v>
          </cell>
          <cell r="B145" t="str">
            <v>Payroll Related Expenses:Relocation Expenses</v>
          </cell>
          <cell r="C145" t="str">
            <v>Expenses</v>
          </cell>
          <cell r="D145" t="str">
            <v>Staff Cost</v>
          </cell>
        </row>
        <row r="146">
          <cell r="A146">
            <v>66806</v>
          </cell>
          <cell r="B146" t="str">
            <v>Payroll Related Expenses:Commissions Paid</v>
          </cell>
          <cell r="C146" t="str">
            <v>Expenses</v>
          </cell>
          <cell r="D146" t="str">
            <v>Staff Cost</v>
          </cell>
        </row>
        <row r="147">
          <cell r="A147">
            <v>66810</v>
          </cell>
          <cell r="B147" t="str">
            <v>Payroll Related Expenses:Subcontractors</v>
          </cell>
          <cell r="C147" t="str">
            <v>Expenses</v>
          </cell>
          <cell r="D147" t="str">
            <v>Staff Cost</v>
          </cell>
        </row>
        <row r="148">
          <cell r="A148">
            <v>66820</v>
          </cell>
          <cell r="B148" t="str">
            <v>Payroll Related Expenses:Payroll Taxes</v>
          </cell>
          <cell r="C148" t="str">
            <v>Expenses</v>
          </cell>
          <cell r="D148" t="str">
            <v>Staff Cost</v>
          </cell>
        </row>
        <row r="149">
          <cell r="A149">
            <v>66827</v>
          </cell>
          <cell r="B149" t="str">
            <v>Payroll Related Expenses:Payroll Taxes:FL State Unemployment Tax</v>
          </cell>
          <cell r="C149" t="str">
            <v>Expenses</v>
          </cell>
          <cell r="D149" t="str">
            <v>Staff Cost</v>
          </cell>
        </row>
        <row r="150">
          <cell r="A150">
            <v>66828</v>
          </cell>
          <cell r="B150" t="str">
            <v>Payroll Related Expenses:Payroll Taxes:NC Unemployment SUI</v>
          </cell>
          <cell r="C150" t="str">
            <v>Expenses</v>
          </cell>
          <cell r="D150" t="str">
            <v>Staff Cost</v>
          </cell>
        </row>
        <row r="151">
          <cell r="A151">
            <v>66831</v>
          </cell>
          <cell r="B151" t="str">
            <v>Payroll Related Expenses:Payroll Taxes:FICA Taxes</v>
          </cell>
          <cell r="C151" t="str">
            <v>Expenses</v>
          </cell>
          <cell r="D151" t="str">
            <v>Staff Cost</v>
          </cell>
        </row>
        <row r="152">
          <cell r="A152">
            <v>66832</v>
          </cell>
          <cell r="B152" t="str">
            <v>Payroll Related Expenses:Payroll Taxes:RI SUI</v>
          </cell>
          <cell r="C152" t="str">
            <v>Expenses</v>
          </cell>
          <cell r="D152" t="str">
            <v>Staff Cost</v>
          </cell>
        </row>
        <row r="153">
          <cell r="A153">
            <v>66833</v>
          </cell>
          <cell r="B153" t="str">
            <v>Payroll Related Expenses:Payroll Taxes:RI Employment Taxes</v>
          </cell>
          <cell r="C153" t="str">
            <v>Expenses</v>
          </cell>
          <cell r="D153" t="str">
            <v>Staff Cost</v>
          </cell>
        </row>
        <row r="154">
          <cell r="A154">
            <v>66834</v>
          </cell>
          <cell r="B154" t="str">
            <v>Payroll Related Expenses:Payroll Taxes:RI Income Tax</v>
          </cell>
          <cell r="C154" t="str">
            <v>Expenses</v>
          </cell>
          <cell r="D154" t="str">
            <v>Staff Cost</v>
          </cell>
        </row>
        <row r="155">
          <cell r="A155">
            <v>66835</v>
          </cell>
          <cell r="B155" t="str">
            <v>Payroll Related Expenses:Payroll Taxes:NC Witholding</v>
          </cell>
          <cell r="C155" t="str">
            <v>Expenses</v>
          </cell>
          <cell r="D155" t="str">
            <v>Staff Cost</v>
          </cell>
        </row>
        <row r="156">
          <cell r="A156">
            <v>66840</v>
          </cell>
          <cell r="B156" t="str">
            <v>Payroll Related Expenses:Payroll Taxes:Federal Payroll Taxes</v>
          </cell>
          <cell r="C156" t="str">
            <v>Expenses</v>
          </cell>
          <cell r="D156" t="str">
            <v>Staff Cost</v>
          </cell>
        </row>
        <row r="157">
          <cell r="A157">
            <v>66850</v>
          </cell>
          <cell r="B157" t="str">
            <v>Payroll Related Expenses:Health Insurance</v>
          </cell>
          <cell r="C157" t="str">
            <v>Expenses</v>
          </cell>
          <cell r="D157" t="str">
            <v>Staff Cost</v>
          </cell>
        </row>
        <row r="158">
          <cell r="A158">
            <v>66860</v>
          </cell>
          <cell r="B158" t="str">
            <v>Payroll Related Expenses:Vacation expense accrued</v>
          </cell>
          <cell r="C158" t="str">
            <v>Expenses</v>
          </cell>
          <cell r="D158" t="str">
            <v>Staff Cost</v>
          </cell>
        </row>
        <row r="159">
          <cell r="A159">
            <v>66880</v>
          </cell>
          <cell r="B159" t="str">
            <v>Payroll Related Expenses:Staff Gifts</v>
          </cell>
          <cell r="C159" t="str">
            <v>Expenses</v>
          </cell>
          <cell r="D159" t="str">
            <v>Staff Cost</v>
          </cell>
        </row>
        <row r="160">
          <cell r="A160">
            <v>66899</v>
          </cell>
          <cell r="B160" t="str">
            <v>Payroll Related Expenses:Payroll Clearing Account</v>
          </cell>
          <cell r="C160" t="str">
            <v>Expenses</v>
          </cell>
          <cell r="D160" t="str">
            <v>Staff Cost</v>
          </cell>
        </row>
        <row r="161">
          <cell r="A161">
            <v>66900</v>
          </cell>
          <cell r="B161" t="str">
            <v>Reconciliation Discrepancies</v>
          </cell>
          <cell r="C161" t="str">
            <v>Expenses</v>
          </cell>
          <cell r="D161" t="str">
            <v>General Administrative</v>
          </cell>
        </row>
        <row r="162">
          <cell r="A162">
            <v>67100</v>
          </cell>
          <cell r="B162" t="str">
            <v>Office Expenses</v>
          </cell>
          <cell r="C162" t="str">
            <v>Expenses</v>
          </cell>
          <cell r="D162" t="str">
            <v>General Administrative</v>
          </cell>
        </row>
        <row r="163">
          <cell r="A163">
            <v>67103</v>
          </cell>
          <cell r="B163" t="str">
            <v>Office Expenses:Office Utilities</v>
          </cell>
          <cell r="C163" t="str">
            <v>Expenses</v>
          </cell>
          <cell r="D163" t="str">
            <v>General Administrative</v>
          </cell>
        </row>
        <row r="164">
          <cell r="A164">
            <v>67105</v>
          </cell>
          <cell r="B164" t="str">
            <v>Office Expenses:Office Rental</v>
          </cell>
          <cell r="C164" t="str">
            <v>Expenses</v>
          </cell>
          <cell r="D164" t="str">
            <v>Rental</v>
          </cell>
        </row>
        <row r="165">
          <cell r="A165">
            <v>67110</v>
          </cell>
          <cell r="B165" t="str">
            <v>Office Expenses:Stationery &amp; Office Consumables</v>
          </cell>
          <cell r="C165" t="str">
            <v>Expenses</v>
          </cell>
          <cell r="D165" t="str">
            <v>General Administrative</v>
          </cell>
        </row>
        <row r="166">
          <cell r="A166">
            <v>67120</v>
          </cell>
          <cell r="B166" t="str">
            <v>Office Expenses:Postage and Delivery</v>
          </cell>
          <cell r="C166" t="str">
            <v>Expenses</v>
          </cell>
          <cell r="D166" t="str">
            <v>General Administrative</v>
          </cell>
        </row>
        <row r="167">
          <cell r="A167">
            <v>67200</v>
          </cell>
          <cell r="B167" t="str">
            <v>Repairs &amp; Maintenance of Equip</v>
          </cell>
          <cell r="C167" t="str">
            <v>Expenses</v>
          </cell>
          <cell r="D167" t="str">
            <v>Maintenance &amp; Upkeep</v>
          </cell>
        </row>
        <row r="168">
          <cell r="A168">
            <v>67500</v>
          </cell>
          <cell r="B168" t="str">
            <v>Office Expenses:Telephone/Communication Expense</v>
          </cell>
          <cell r="C168" t="str">
            <v>Expenses</v>
          </cell>
          <cell r="D168" t="str">
            <v>Utilities</v>
          </cell>
        </row>
        <row r="169">
          <cell r="A169">
            <v>68200</v>
          </cell>
          <cell r="B169" t="str">
            <v>US Support &amp; Warehouse</v>
          </cell>
          <cell r="C169" t="str">
            <v>Expenses</v>
          </cell>
          <cell r="D169" t="str">
            <v>Rental</v>
          </cell>
        </row>
        <row r="170">
          <cell r="A170">
            <v>68400</v>
          </cell>
          <cell r="B170" t="str">
            <v>Travel</v>
          </cell>
          <cell r="C170" t="str">
            <v>Expenses</v>
          </cell>
          <cell r="D170" t="str">
            <v>General Administrative</v>
          </cell>
        </row>
        <row r="171">
          <cell r="A171">
            <v>68405</v>
          </cell>
          <cell r="B171" t="str">
            <v>Travel:Travel - Business Development</v>
          </cell>
          <cell r="C171" t="str">
            <v>Expenses</v>
          </cell>
          <cell r="D171" t="str">
            <v>General Administrative</v>
          </cell>
        </row>
        <row r="172">
          <cell r="A172">
            <v>68410</v>
          </cell>
          <cell r="B172" t="str">
            <v>Travel:Travel - Business Development:Accommodation - Business Development</v>
          </cell>
          <cell r="C172" t="str">
            <v>Expenses</v>
          </cell>
          <cell r="D172" t="str">
            <v>General Administrative</v>
          </cell>
        </row>
        <row r="173">
          <cell r="A173">
            <v>68415</v>
          </cell>
          <cell r="B173" t="str">
            <v>Travel:Travel - Business Development:Flights - Business Development</v>
          </cell>
          <cell r="C173" t="str">
            <v>Expenses</v>
          </cell>
          <cell r="D173" t="str">
            <v>General Administrative</v>
          </cell>
        </row>
        <row r="174">
          <cell r="A174">
            <v>68420</v>
          </cell>
          <cell r="B174" t="str">
            <v>Travel:Travel - Business Development:Meals and Entertainment - Business Development</v>
          </cell>
          <cell r="C174" t="str">
            <v>Expenses</v>
          </cell>
          <cell r="D174" t="str">
            <v>General Administrative</v>
          </cell>
        </row>
        <row r="175">
          <cell r="A175">
            <v>68421</v>
          </cell>
          <cell r="B175" t="str">
            <v>Travel:Travel - Business Development:Per Diems / Travel Allowance</v>
          </cell>
          <cell r="C175" t="str">
            <v>Expenses</v>
          </cell>
          <cell r="D175" t="str">
            <v>General Administrative</v>
          </cell>
        </row>
        <row r="176">
          <cell r="A176">
            <v>68450</v>
          </cell>
          <cell r="B176" t="str">
            <v>Travel:Travel - Business Development:Taxis &amp; Car Rental - Business Development</v>
          </cell>
          <cell r="C176" t="str">
            <v>Expenses</v>
          </cell>
          <cell r="D176" t="str">
            <v>General Administrative</v>
          </cell>
        </row>
        <row r="177">
          <cell r="A177">
            <v>68460</v>
          </cell>
          <cell r="B177" t="str">
            <v>Travel:Trade Shows Travel</v>
          </cell>
          <cell r="C177" t="str">
            <v>Expenses</v>
          </cell>
          <cell r="D177" t="str">
            <v>Marketing &amp; Market Research</v>
          </cell>
        </row>
        <row r="178">
          <cell r="A178">
            <v>68465</v>
          </cell>
          <cell r="B178" t="str">
            <v>Travel:Trade Shows Travel:Flights - Trade Shows</v>
          </cell>
          <cell r="C178" t="str">
            <v>Expenses</v>
          </cell>
          <cell r="D178" t="str">
            <v>Marketing &amp; Market Research</v>
          </cell>
        </row>
        <row r="179">
          <cell r="A179">
            <v>68470</v>
          </cell>
          <cell r="B179" t="str">
            <v>Travel:Trade Shows Travel:Accommodation - Trade Shows</v>
          </cell>
          <cell r="C179" t="str">
            <v>Expenses</v>
          </cell>
          <cell r="D179" t="str">
            <v>Marketing &amp; Market Research</v>
          </cell>
        </row>
        <row r="180">
          <cell r="A180">
            <v>68472</v>
          </cell>
          <cell r="B180" t="str">
            <v>Travel:Trade Shows Travel:Meals &amp; Entertainment - Trade Shows</v>
          </cell>
          <cell r="C180" t="str">
            <v>Expenses</v>
          </cell>
          <cell r="D180" t="str">
            <v>Marketing &amp; Market Research</v>
          </cell>
        </row>
        <row r="181">
          <cell r="A181">
            <v>68475</v>
          </cell>
          <cell r="B181" t="str">
            <v>Travel:Trade Shows Travel:Taxis &amp; Car Rental - Trade Shows</v>
          </cell>
          <cell r="C181" t="str">
            <v>Expenses</v>
          </cell>
          <cell r="D181" t="str">
            <v>Marketing &amp; Market Research</v>
          </cell>
        </row>
        <row r="182">
          <cell r="A182">
            <v>69800</v>
          </cell>
          <cell r="B182" t="str">
            <v>Uncategorized Expense</v>
          </cell>
          <cell r="C182" t="str">
            <v>Expenses</v>
          </cell>
          <cell r="D182" t="str">
            <v>General Administrative</v>
          </cell>
        </row>
        <row r="183">
          <cell r="A183">
            <v>69900</v>
          </cell>
          <cell r="B183" t="str">
            <v>Sales &amp; Marketing Services-Recovery</v>
          </cell>
          <cell r="C183" t="str">
            <v>Expenses</v>
          </cell>
          <cell r="D183" t="str">
            <v>Others</v>
          </cell>
        </row>
        <row r="184">
          <cell r="A184">
            <v>69999</v>
          </cell>
          <cell r="B184" t="str">
            <v>Unapplied Cash Bill Payment Expense</v>
          </cell>
          <cell r="C184" t="str">
            <v>Expenses</v>
          </cell>
          <cell r="D184" t="str">
            <v>General Administrative</v>
          </cell>
        </row>
        <row r="185">
          <cell r="A185">
            <v>70000</v>
          </cell>
          <cell r="B185" t="str">
            <v>Finance Charge Income</v>
          </cell>
          <cell r="C185" t="str">
            <v>Other Income</v>
          </cell>
          <cell r="D185" t="str">
            <v>Other Revenue</v>
          </cell>
        </row>
        <row r="186">
          <cell r="A186">
            <v>70200</v>
          </cell>
          <cell r="B186" t="str">
            <v>Interest Income</v>
          </cell>
          <cell r="C186" t="str">
            <v>Other Income</v>
          </cell>
          <cell r="D186" t="str">
            <v>Interest Income</v>
          </cell>
        </row>
        <row r="187">
          <cell r="A187">
            <v>70220</v>
          </cell>
          <cell r="B187" t="str">
            <v>Other Income</v>
          </cell>
          <cell r="C187" t="str">
            <v>Other Income</v>
          </cell>
          <cell r="D187" t="str">
            <v>Other Revenue</v>
          </cell>
        </row>
        <row r="188">
          <cell r="A188">
            <v>70300</v>
          </cell>
          <cell r="B188" t="str">
            <v>Bank Service Charges:Bounced Check Fee</v>
          </cell>
          <cell r="C188" t="str">
            <v>Expenses</v>
          </cell>
          <cell r="D188" t="str">
            <v>General Administrative</v>
          </cell>
        </row>
        <row r="189">
          <cell r="A189">
            <v>77000</v>
          </cell>
          <cell r="B189" t="str">
            <v>Exchange Gain or Loss</v>
          </cell>
          <cell r="C189" t="str">
            <v>Other Expense</v>
          </cell>
          <cell r="D189" t="str">
            <v>Trade Forex Gain/(Losses)</v>
          </cell>
        </row>
        <row r="190">
          <cell r="A190">
            <v>91000</v>
          </cell>
          <cell r="B190" t="str">
            <v>Perth Clearing Acccount</v>
          </cell>
          <cell r="C190" t="str">
            <v>Bank</v>
          </cell>
          <cell r="D190" t="str">
            <v>Unrestricted Cash on Hand &amp; at Banks</v>
          </cell>
        </row>
        <row r="191">
          <cell r="A191">
            <v>91100</v>
          </cell>
          <cell r="B191" t="str">
            <v>Bank of America Savings - 6745</v>
          </cell>
          <cell r="C191" t="str">
            <v>Bank</v>
          </cell>
          <cell r="D191" t="str">
            <v>Unrestricted Cash on Hand &amp; at Banks</v>
          </cell>
        </row>
        <row r="192">
          <cell r="A192">
            <v>91200</v>
          </cell>
          <cell r="B192" t="str">
            <v>Bank of America Checking - 5640</v>
          </cell>
          <cell r="C192" t="str">
            <v>Bank</v>
          </cell>
          <cell r="D192" t="str">
            <v>Unrestricted Cash on Hand &amp; at Banks</v>
          </cell>
        </row>
        <row r="193">
          <cell r="A193">
            <v>91201</v>
          </cell>
          <cell r="B193" t="str">
            <v>BoA Debit Account - 8086</v>
          </cell>
          <cell r="C193" t="str">
            <v>Bank</v>
          </cell>
          <cell r="D193" t="str">
            <v>Unrestricted Cash on Hand &amp; at Banks</v>
          </cell>
        </row>
        <row r="194">
          <cell r="A194">
            <v>91300</v>
          </cell>
          <cell r="B194" t="str">
            <v>91300AirwallexUSD</v>
          </cell>
          <cell r="C194" t="str">
            <v>Bank</v>
          </cell>
          <cell r="D194" t="str">
            <v>Unrestricted Cash on Hand &amp; at Banks</v>
          </cell>
        </row>
        <row r="195">
          <cell r="A195">
            <v>91400</v>
          </cell>
          <cell r="B195" t="str">
            <v>Petty Cash</v>
          </cell>
          <cell r="C195" t="str">
            <v>Bank</v>
          </cell>
          <cell r="D195" t="str">
            <v>Unrestricted Cash on Hand &amp; at Banks</v>
          </cell>
        </row>
        <row r="196">
          <cell r="A196">
            <v>91500</v>
          </cell>
          <cell r="B196" t="str">
            <v>Undeposited Funds</v>
          </cell>
          <cell r="C196" t="str">
            <v>Other Current Assets</v>
          </cell>
          <cell r="D196" t="str">
            <v>Unrestricted Cash on Hand &amp; at Banks</v>
          </cell>
        </row>
        <row r="197">
          <cell r="A197">
            <v>91700</v>
          </cell>
          <cell r="B197" t="str">
            <v>Accounts Receivable</v>
          </cell>
          <cell r="C197" t="str">
            <v>Accounts receivable (A/R)</v>
          </cell>
          <cell r="D197" t="str">
            <v>Account Receivables - Non-Retention</v>
          </cell>
        </row>
        <row r="198">
          <cell r="A198">
            <v>91701</v>
          </cell>
          <cell r="B198" t="str">
            <v>Allowance for Doubtful Accounts</v>
          </cell>
          <cell r="C198" t="str">
            <v>Accounts receivable (A/R)</v>
          </cell>
          <cell r="D198" t="str">
            <v>Account Receivables - Non-Retention</v>
          </cell>
        </row>
        <row r="199">
          <cell r="A199">
            <v>91702</v>
          </cell>
          <cell r="B199" t="str">
            <v>Sundry Debtors</v>
          </cell>
          <cell r="C199" t="str">
            <v>Accounts receivable (A/R)</v>
          </cell>
          <cell r="D199" t="str">
            <v>Account Receivables - Non-Retention</v>
          </cell>
        </row>
        <row r="200">
          <cell r="A200">
            <v>91703</v>
          </cell>
          <cell r="B200" t="str">
            <v>Allowance for ECL</v>
          </cell>
          <cell r="C200" t="str">
            <v>Accounts receivable (A/R)</v>
          </cell>
          <cell r="D200" t="str">
            <v>Account Receivables - Non-Retention</v>
          </cell>
        </row>
        <row r="201">
          <cell r="A201">
            <v>91900</v>
          </cell>
          <cell r="B201" t="str">
            <v>Inventory Asset</v>
          </cell>
          <cell r="C201" t="str">
            <v>Other Current Assets</v>
          </cell>
          <cell r="D201" t="str">
            <v>Finished Goods</v>
          </cell>
        </row>
        <row r="202">
          <cell r="A202">
            <v>91901</v>
          </cell>
          <cell r="B202" t="str">
            <v>Inventory Asset:RoIP Products</v>
          </cell>
          <cell r="C202" t="str">
            <v>Other Current Assets</v>
          </cell>
          <cell r="D202" t="str">
            <v>Finished Goods</v>
          </cell>
        </row>
        <row r="203">
          <cell r="A203">
            <v>91902</v>
          </cell>
          <cell r="B203" t="str">
            <v>Inventory Asset:Bridge Products</v>
          </cell>
          <cell r="C203" t="str">
            <v>Other Current Assets</v>
          </cell>
          <cell r="D203" t="str">
            <v>Finished Goods</v>
          </cell>
        </row>
        <row r="204">
          <cell r="A204">
            <v>91903</v>
          </cell>
          <cell r="B204" t="str">
            <v>Inventory Asset:900 Series Interfaces</v>
          </cell>
          <cell r="C204" t="str">
            <v>Other Current Assets</v>
          </cell>
          <cell r="D204" t="str">
            <v>Finished Goods</v>
          </cell>
        </row>
        <row r="205">
          <cell r="A205">
            <v>91904</v>
          </cell>
          <cell r="B205" t="str">
            <v>Inventory Asset:960 Handsets &amp; Consoles</v>
          </cell>
          <cell r="C205" t="str">
            <v>Other Current Assets</v>
          </cell>
          <cell r="D205" t="str">
            <v>Finished Goods</v>
          </cell>
        </row>
        <row r="206">
          <cell r="A206">
            <v>91907</v>
          </cell>
          <cell r="B206" t="str">
            <v>Inventory Asset:DX-64 Digital Radio</v>
          </cell>
          <cell r="C206" t="str">
            <v>Other Current Assets</v>
          </cell>
          <cell r="D206" t="str">
            <v>Finished Goods</v>
          </cell>
        </row>
        <row r="207">
          <cell r="A207">
            <v>91908</v>
          </cell>
          <cell r="B207" t="str">
            <v>Inventory Asset:Misc Equipment</v>
          </cell>
          <cell r="C207" t="str">
            <v>Other Current Assets</v>
          </cell>
          <cell r="D207" t="str">
            <v>Finished Goods</v>
          </cell>
        </row>
        <row r="208">
          <cell r="A208">
            <v>91909</v>
          </cell>
          <cell r="B208" t="str">
            <v>Inventory Asset:RediTALK GUI Software Group</v>
          </cell>
          <cell r="C208" t="str">
            <v>Other Current Assets</v>
          </cell>
          <cell r="D208" t="str">
            <v>Finished Goods</v>
          </cell>
        </row>
        <row r="209">
          <cell r="A209">
            <v>91910</v>
          </cell>
          <cell r="B209" t="str">
            <v>Inventory Asset:Loan Inventory</v>
          </cell>
          <cell r="C209" t="str">
            <v>Other Current Assets</v>
          </cell>
          <cell r="D209" t="str">
            <v>Other Inventories</v>
          </cell>
        </row>
        <row r="210">
          <cell r="A210">
            <v>91911</v>
          </cell>
          <cell r="B210" t="str">
            <v>Provision for Inventory Write Off</v>
          </cell>
          <cell r="C210" t="str">
            <v>Other Current Assets</v>
          </cell>
          <cell r="D210" t="str">
            <v>Finished Goods</v>
          </cell>
        </row>
        <row r="211">
          <cell r="A211">
            <v>91920</v>
          </cell>
          <cell r="B211" t="str">
            <v>91920 Hardware - Omnitronics</v>
          </cell>
          <cell r="C211" t="str">
            <v>Other Current Assets</v>
          </cell>
          <cell r="D211" t="str">
            <v>Finished Goods</v>
          </cell>
        </row>
        <row r="212">
          <cell r="A212">
            <v>91950</v>
          </cell>
          <cell r="B212" t="str">
            <v>Inventory Asset:omnicore</v>
          </cell>
          <cell r="C212" t="str">
            <v>Other Current Assets</v>
          </cell>
          <cell r="D212" t="str">
            <v>Finished Goods</v>
          </cell>
        </row>
        <row r="213">
          <cell r="A213">
            <v>91951</v>
          </cell>
          <cell r="B213" t="str">
            <v>Inventory Asset:omnicore software</v>
          </cell>
          <cell r="C213" t="str">
            <v>Other Current Assets</v>
          </cell>
          <cell r="D213" t="str">
            <v>Finished Goods</v>
          </cell>
        </row>
        <row r="214">
          <cell r="A214">
            <v>91999</v>
          </cell>
          <cell r="B214" t="str">
            <v>Inventory Asset:Items out on loan</v>
          </cell>
          <cell r="C214" t="str">
            <v>Other Current Assets</v>
          </cell>
          <cell r="D214" t="str">
            <v>Other Inventories</v>
          </cell>
        </row>
        <row r="215">
          <cell r="A215">
            <v>92100</v>
          </cell>
          <cell r="B215" t="str">
            <v>EXCHANGE/REPAIR STOCK</v>
          </cell>
          <cell r="C215" t="str">
            <v>Other Current Assets</v>
          </cell>
          <cell r="D215" t="str">
            <v>Other Inventories</v>
          </cell>
        </row>
        <row r="216">
          <cell r="A216">
            <v>93000</v>
          </cell>
          <cell r="B216" t="str">
            <v>Furniture and Equipment</v>
          </cell>
          <cell r="C216" t="str">
            <v>Fixed Assets</v>
          </cell>
          <cell r="D216" t="str">
            <v>Other PPE</v>
          </cell>
        </row>
        <row r="217">
          <cell r="A217">
            <v>93001</v>
          </cell>
          <cell r="B217" t="str">
            <v>Leasehold Improvements</v>
          </cell>
          <cell r="C217" t="str">
            <v>Fixed Assets</v>
          </cell>
          <cell r="D217" t="str">
            <v>Other PPE</v>
          </cell>
        </row>
        <row r="218">
          <cell r="A218">
            <v>94000</v>
          </cell>
          <cell r="B218" t="str">
            <v>Office Equipment</v>
          </cell>
          <cell r="C218" t="str">
            <v>Fixed Assets</v>
          </cell>
          <cell r="D218" t="str">
            <v>Other PPE</v>
          </cell>
        </row>
        <row r="219">
          <cell r="A219">
            <v>94250</v>
          </cell>
          <cell r="B219" t="str">
            <v>Accumulated Depreciation</v>
          </cell>
          <cell r="C219" t="str">
            <v>Fixed Assets</v>
          </cell>
          <cell r="D219" t="str">
            <v>Other PPE</v>
          </cell>
        </row>
        <row r="220">
          <cell r="A220">
            <v>94500</v>
          </cell>
          <cell r="B220" t="str">
            <v>Prepaid SMAs</v>
          </cell>
          <cell r="C220" t="str">
            <v>Other Assets</v>
          </cell>
          <cell r="D220" t="str">
            <v>Prepayments</v>
          </cell>
        </row>
        <row r="221">
          <cell r="A221">
            <v>94501</v>
          </cell>
          <cell r="B221" t="str">
            <v>Lease Deposit</v>
          </cell>
          <cell r="C221" t="str">
            <v>Other Assets</v>
          </cell>
          <cell r="D221" t="str">
            <v>Deposits</v>
          </cell>
        </row>
        <row r="222">
          <cell r="A222">
            <v>95300</v>
          </cell>
          <cell r="B222" t="str">
            <v>Accounts Payable</v>
          </cell>
          <cell r="C222" t="str">
            <v>Accounts payable (A/P)</v>
          </cell>
          <cell r="D222" t="str">
            <v>Trade Payable (Excl Trade Financing)</v>
          </cell>
        </row>
        <row r="223">
          <cell r="A223">
            <v>99998</v>
          </cell>
          <cell r="B223" t="str">
            <v>Uncategorized Asset</v>
          </cell>
          <cell r="C223" t="str">
            <v>Other Current Assets</v>
          </cell>
          <cell r="D223" t="str">
            <v>Other Inventories</v>
          </cell>
        </row>
        <row r="224">
          <cell r="A224">
            <v>99999</v>
          </cell>
          <cell r="B224" t="str">
            <v>Inventory Asset:Demo Equipment</v>
          </cell>
          <cell r="C224" t="str">
            <v>Other Current Assets</v>
          </cell>
          <cell r="D224" t="str">
            <v>Other Inventories</v>
          </cell>
        </row>
        <row r="225">
          <cell r="B225" t="str">
            <v>Accounts Payable (A/P) - AUD</v>
          </cell>
          <cell r="C225" t="str">
            <v>Accounts payable (A/P)</v>
          </cell>
          <cell r="D225" t="str">
            <v>Trade Payable (Excl Trade Financing)</v>
          </cell>
        </row>
        <row r="226">
          <cell r="B226" t="str">
            <v>Accounts Payable (A/P) - CAD</v>
          </cell>
          <cell r="C226" t="str">
            <v>Accounts payable (A/P)</v>
          </cell>
          <cell r="D226" t="str">
            <v>Trade Payable (Excl Trade Financing)</v>
          </cell>
        </row>
        <row r="227">
          <cell r="B227" t="str">
            <v>Accounts Payable (A/P) - EUR</v>
          </cell>
          <cell r="C227" t="str">
            <v>Accounts payable (A/P)</v>
          </cell>
          <cell r="D227" t="str">
            <v>Trade Payable (Excl Trade Financing)</v>
          </cell>
        </row>
        <row r="228">
          <cell r="B228" t="str">
            <v>NEW JERSEY DIVISION OF REVENUE Payable</v>
          </cell>
          <cell r="C228" t="str">
            <v>Other Current Liabilities</v>
          </cell>
          <cell r="D228" t="str">
            <v>Tax Payables</v>
          </cell>
        </row>
        <row r="229">
          <cell r="B229" t="str">
            <v>Wyoming Department of Revenue Payable</v>
          </cell>
          <cell r="C229" t="str">
            <v>Other Current Liabilities</v>
          </cell>
          <cell r="D229" t="str">
            <v>Tax Payables</v>
          </cell>
        </row>
        <row r="230">
          <cell r="B230" t="str">
            <v>Billable Expense Income</v>
          </cell>
          <cell r="C230" t="str">
            <v>Income</v>
          </cell>
          <cell r="D230" t="str">
            <v>Other Revenue</v>
          </cell>
        </row>
        <row r="231">
          <cell r="B231" t="str">
            <v>Sales of Product Income</v>
          </cell>
          <cell r="C231" t="str">
            <v>Income</v>
          </cell>
          <cell r="D231" t="str">
            <v>Other Revenue</v>
          </cell>
        </row>
        <row r="232">
          <cell r="A232">
            <v>70000</v>
          </cell>
          <cell r="B232" t="str">
            <v>Finance Charge Income</v>
          </cell>
          <cell r="C232" t="str">
            <v>Income</v>
          </cell>
          <cell r="D232" t="str">
            <v>Other Revenue</v>
          </cell>
        </row>
        <row r="233">
          <cell r="B233" t="str">
            <v>Payroll Expenses</v>
          </cell>
          <cell r="C233" t="str">
            <v>Expenses</v>
          </cell>
          <cell r="D233" t="str">
            <v>Staff Cost</v>
          </cell>
        </row>
        <row r="234">
          <cell r="B234" t="str">
            <v>Payroll Expenses:Commissions Paid</v>
          </cell>
          <cell r="C234" t="str">
            <v>Expenses</v>
          </cell>
          <cell r="D234" t="str">
            <v>Staff Cost</v>
          </cell>
        </row>
        <row r="235">
          <cell r="B235" t="str">
            <v>Payroll Expenses:Wages</v>
          </cell>
          <cell r="C235" t="str">
            <v>Expenses</v>
          </cell>
          <cell r="D235" t="str">
            <v>Staff Cost</v>
          </cell>
        </row>
        <row r="236">
          <cell r="B236" t="str">
            <v>Payroll Expenses:Wages:Paid Out Leave</v>
          </cell>
          <cell r="C236" t="str">
            <v>Expenses</v>
          </cell>
          <cell r="D236" t="str">
            <v>Staff Cost</v>
          </cell>
        </row>
        <row r="237">
          <cell r="B237" t="str">
            <v>Payroll Related Expenses:Federal Payroll Taxes</v>
          </cell>
          <cell r="C237" t="str">
            <v>Expenses</v>
          </cell>
          <cell r="D237" t="str">
            <v>Staff Cost</v>
          </cell>
        </row>
        <row r="238">
          <cell r="B238" t="str">
            <v>Payroll Related Expenses:Payroll Reimbursement  Clearing Acccount</v>
          </cell>
          <cell r="C238" t="str">
            <v>Expenses</v>
          </cell>
          <cell r="D238" t="str">
            <v>Staff Cost</v>
          </cell>
        </row>
        <row r="239">
          <cell r="A239">
            <v>80000</v>
          </cell>
          <cell r="B239" t="str">
            <v>Exchange Gain or Loss-1</v>
          </cell>
          <cell r="C239" t="str">
            <v>Other Expense</v>
          </cell>
          <cell r="D239" t="str">
            <v>Trade Forex Gain/(Losses)</v>
          </cell>
        </row>
        <row r="240">
          <cell r="B240" t="str">
            <v>Reconciliation Discrepancies-1</v>
          </cell>
          <cell r="C240" t="str">
            <v>Other Expense</v>
          </cell>
          <cell r="D240" t="str">
            <v>General Administrative</v>
          </cell>
        </row>
      </sheetData>
      <sheetData sheetId="31">
        <row r="1">
          <cell r="B1" t="str">
            <v>Code</v>
          </cell>
          <cell r="C1" t="str">
            <v>Description</v>
          </cell>
          <cell r="D1" t="str">
            <v>Column</v>
          </cell>
          <cell r="E1" t="str">
            <v>Level</v>
          </cell>
          <cell r="F1" t="str">
            <v>Style</v>
          </cell>
          <cell r="G1" t="str">
            <v>Addto-1</v>
          </cell>
          <cell r="H1" t="str">
            <v>Dr/Cr</v>
          </cell>
          <cell r="I1" t="str">
            <v>Post</v>
          </cell>
          <cell r="J1" t="str">
            <v>Summary</v>
          </cell>
          <cell r="K1" t="str">
            <v>Formula</v>
          </cell>
        </row>
        <row r="2">
          <cell r="B2">
            <v>1100</v>
          </cell>
          <cell r="C2" t="str">
            <v>Cash on Hand - Unit Capital</v>
          </cell>
          <cell r="D2">
            <v>1</v>
          </cell>
          <cell r="E2">
            <v>1</v>
          </cell>
          <cell r="F2">
            <v>0</v>
          </cell>
          <cell r="G2" t="str">
            <v>1199</v>
          </cell>
          <cell r="H2" t="str">
            <v>Dr</v>
          </cell>
          <cell r="I2" t="str">
            <v>Yes</v>
          </cell>
          <cell r="J2" t="str">
            <v>Never</v>
          </cell>
          <cell r="K2" t="str">
            <v>Unrestricted Cash on Hand &amp; at Banks</v>
          </cell>
        </row>
        <row r="3">
          <cell r="B3">
            <v>1101</v>
          </cell>
          <cell r="C3" t="str">
            <v>Operating Cheque Account</v>
          </cell>
          <cell r="D3">
            <v>1</v>
          </cell>
          <cell r="E3">
            <v>1</v>
          </cell>
          <cell r="F3">
            <v>0</v>
          </cell>
          <cell r="G3" t="str">
            <v>1199</v>
          </cell>
          <cell r="H3" t="str">
            <v>Dr</v>
          </cell>
          <cell r="I3" t="str">
            <v>Yes</v>
          </cell>
          <cell r="J3" t="str">
            <v>Never</v>
          </cell>
          <cell r="K3" t="str">
            <v>Unrestricted Cash on Hand &amp; at Banks</v>
          </cell>
        </row>
        <row r="4">
          <cell r="B4">
            <v>1102</v>
          </cell>
          <cell r="C4" t="str">
            <v>Debit cards bank account</v>
          </cell>
          <cell r="D4">
            <v>1</v>
          </cell>
          <cell r="E4">
            <v>1</v>
          </cell>
          <cell r="F4">
            <v>0</v>
          </cell>
          <cell r="G4" t="str">
            <v>1199</v>
          </cell>
          <cell r="H4" t="str">
            <v>Dr</v>
          </cell>
          <cell r="I4" t="str">
            <v>Yes</v>
          </cell>
          <cell r="J4" t="str">
            <v>Never</v>
          </cell>
          <cell r="K4" t="str">
            <v>Unrestricted Cash on Hand &amp; at Banks</v>
          </cell>
        </row>
        <row r="5">
          <cell r="B5">
            <v>1103</v>
          </cell>
          <cell r="C5" t="str">
            <v>CRB Account</v>
          </cell>
          <cell r="D5">
            <v>1</v>
          </cell>
          <cell r="E5">
            <v>1</v>
          </cell>
          <cell r="F5">
            <v>0</v>
          </cell>
          <cell r="G5" t="str">
            <v>1199</v>
          </cell>
          <cell r="H5" t="str">
            <v>Dr</v>
          </cell>
          <cell r="I5" t="str">
            <v>Yes</v>
          </cell>
          <cell r="J5" t="str">
            <v>Never</v>
          </cell>
          <cell r="K5" t="str">
            <v>Unrestricted Cash on Hand &amp; at Banks</v>
          </cell>
        </row>
        <row r="6">
          <cell r="B6">
            <v>1104</v>
          </cell>
          <cell r="C6" t="str">
            <v>Credit Card - JF</v>
          </cell>
          <cell r="D6">
            <v>1</v>
          </cell>
          <cell r="E6">
            <v>1</v>
          </cell>
          <cell r="F6">
            <v>0</v>
          </cell>
          <cell r="G6" t="str">
            <v>1199</v>
          </cell>
          <cell r="H6" t="str">
            <v>Dr</v>
          </cell>
          <cell r="I6" t="str">
            <v>Yes</v>
          </cell>
          <cell r="J6" t="str">
            <v>Never</v>
          </cell>
          <cell r="K6" t="str">
            <v>Unrestricted Cash on Hand &amp; at Banks</v>
          </cell>
        </row>
        <row r="7">
          <cell r="B7">
            <v>1105</v>
          </cell>
          <cell r="C7" t="str">
            <v>USD - AFEX Account</v>
          </cell>
          <cell r="D7">
            <v>1</v>
          </cell>
          <cell r="E7">
            <v>1</v>
          </cell>
          <cell r="F7">
            <v>0</v>
          </cell>
          <cell r="G7" t="str">
            <v>1199</v>
          </cell>
          <cell r="H7" t="str">
            <v>Dr</v>
          </cell>
          <cell r="I7" t="str">
            <v>Yes</v>
          </cell>
          <cell r="J7" t="str">
            <v>Never</v>
          </cell>
          <cell r="K7" t="str">
            <v>Unrestricted Cash on Hand &amp; at Banks</v>
          </cell>
        </row>
        <row r="8">
          <cell r="B8">
            <v>1106</v>
          </cell>
          <cell r="C8" t="str">
            <v>Airwallex AUD</v>
          </cell>
          <cell r="D8">
            <v>1</v>
          </cell>
          <cell r="E8">
            <v>1</v>
          </cell>
          <cell r="F8">
            <v>0</v>
          </cell>
          <cell r="G8" t="str">
            <v>1199</v>
          </cell>
          <cell r="H8" t="str">
            <v>Dr</v>
          </cell>
          <cell r="I8" t="str">
            <v>Yes</v>
          </cell>
          <cell r="J8" t="str">
            <v>Never</v>
          </cell>
          <cell r="K8" t="str">
            <v>Unrestricted Cash on Hand &amp; at Banks</v>
          </cell>
        </row>
        <row r="9">
          <cell r="B9">
            <v>1107</v>
          </cell>
          <cell r="C9" t="str">
            <v>Airwallex USD</v>
          </cell>
          <cell r="D9">
            <v>1</v>
          </cell>
          <cell r="E9">
            <v>1</v>
          </cell>
          <cell r="F9">
            <v>0</v>
          </cell>
          <cell r="G9" t="str">
            <v>1199</v>
          </cell>
          <cell r="H9" t="str">
            <v>Dr</v>
          </cell>
          <cell r="I9" t="str">
            <v>Yes</v>
          </cell>
          <cell r="J9" t="str">
            <v>Never</v>
          </cell>
          <cell r="K9" t="str">
            <v>Unrestricted Cash on Hand &amp; at Banks</v>
          </cell>
        </row>
        <row r="10">
          <cell r="B10">
            <v>1108</v>
          </cell>
          <cell r="C10" t="str">
            <v>Westpac USD</v>
          </cell>
          <cell r="D10">
            <v>1</v>
          </cell>
          <cell r="E10">
            <v>1</v>
          </cell>
          <cell r="F10">
            <v>0</v>
          </cell>
          <cell r="G10" t="str">
            <v>1199</v>
          </cell>
          <cell r="H10" t="str">
            <v>Dr</v>
          </cell>
          <cell r="I10" t="str">
            <v>Yes</v>
          </cell>
          <cell r="J10" t="str">
            <v>Never</v>
          </cell>
          <cell r="K10" t="str">
            <v>Unrestricted Cash on Hand &amp; at Banks</v>
          </cell>
        </row>
        <row r="11">
          <cell r="B11">
            <v>1109</v>
          </cell>
          <cell r="C11" t="str">
            <v>Airwallex CAD</v>
          </cell>
        </row>
        <row r="12">
          <cell r="B12">
            <v>1110</v>
          </cell>
          <cell r="C12" t="str">
            <v>Receipting Account</v>
          </cell>
          <cell r="D12">
            <v>1</v>
          </cell>
          <cell r="E12">
            <v>1</v>
          </cell>
          <cell r="F12">
            <v>0</v>
          </cell>
          <cell r="G12" t="str">
            <v>1199</v>
          </cell>
          <cell r="H12" t="str">
            <v>Dr</v>
          </cell>
          <cell r="I12" t="str">
            <v>Yes</v>
          </cell>
          <cell r="J12" t="str">
            <v>Never</v>
          </cell>
          <cell r="K12" t="str">
            <v>Unrestricted Cash on Hand &amp; at Banks</v>
          </cell>
        </row>
        <row r="13">
          <cell r="B13">
            <v>1200</v>
          </cell>
          <cell r="C13" t="str">
            <v>Trade Debtors</v>
          </cell>
          <cell r="D13">
            <v>1</v>
          </cell>
          <cell r="E13">
            <v>2</v>
          </cell>
          <cell r="F13">
            <v>0</v>
          </cell>
          <cell r="G13" t="str">
            <v>1590</v>
          </cell>
          <cell r="H13" t="str">
            <v>Dr</v>
          </cell>
          <cell r="I13" t="str">
            <v>Yes</v>
          </cell>
          <cell r="J13" t="str">
            <v>Never</v>
          </cell>
          <cell r="K13" t="str">
            <v>Account Receivables - Non-Retention</v>
          </cell>
        </row>
        <row r="14">
          <cell r="B14">
            <v>1201</v>
          </cell>
          <cell r="C14" t="str">
            <v>Sundry Debtors</v>
          </cell>
          <cell r="D14">
            <v>1</v>
          </cell>
          <cell r="E14">
            <v>2</v>
          </cell>
          <cell r="F14">
            <v>0</v>
          </cell>
          <cell r="G14" t="str">
            <v>1590</v>
          </cell>
          <cell r="H14" t="str">
            <v>Dr</v>
          </cell>
          <cell r="I14" t="str">
            <v>Yes</v>
          </cell>
          <cell r="J14" t="str">
            <v>Never</v>
          </cell>
          <cell r="K14" t="str">
            <v>Account Receivables - Non-Retention</v>
          </cell>
        </row>
        <row r="15">
          <cell r="B15">
            <v>1202</v>
          </cell>
          <cell r="C15" t="str">
            <v>ECL Trade Receiables</v>
          </cell>
          <cell r="D15">
            <v>1</v>
          </cell>
          <cell r="E15">
            <v>2</v>
          </cell>
          <cell r="F15">
            <v>0</v>
          </cell>
          <cell r="G15" t="str">
            <v>1591</v>
          </cell>
          <cell r="H15" t="str">
            <v>Dr</v>
          </cell>
          <cell r="I15" t="str">
            <v>Yes</v>
          </cell>
          <cell r="J15" t="str">
            <v>Never</v>
          </cell>
          <cell r="K15" t="str">
            <v>Account Receivables - Non-Retention</v>
          </cell>
        </row>
        <row r="16">
          <cell r="B16">
            <v>1300</v>
          </cell>
          <cell r="C16" t="str">
            <v>Loan-Omnitronics Inc (USA)</v>
          </cell>
          <cell r="D16">
            <v>1</v>
          </cell>
          <cell r="E16">
            <v>2</v>
          </cell>
          <cell r="F16">
            <v>0</v>
          </cell>
          <cell r="G16" t="str">
            <v>1590</v>
          </cell>
          <cell r="H16" t="str">
            <v>Dr</v>
          </cell>
          <cell r="I16" t="str">
            <v>Yes</v>
          </cell>
          <cell r="J16" t="str">
            <v>Never</v>
          </cell>
          <cell r="K16" t="str">
            <v>Loan to Associated Companies &amp; JVs</v>
          </cell>
        </row>
        <row r="17">
          <cell r="B17">
            <v>1301</v>
          </cell>
          <cell r="C17" t="str">
            <v>Omni Inc Contra Account</v>
          </cell>
          <cell r="D17">
            <v>1</v>
          </cell>
          <cell r="E17">
            <v>2</v>
          </cell>
          <cell r="F17">
            <v>0</v>
          </cell>
          <cell r="G17" t="str">
            <v>1590</v>
          </cell>
          <cell r="H17" t="str">
            <v>Dr</v>
          </cell>
          <cell r="I17" t="str">
            <v>Yes</v>
          </cell>
          <cell r="J17" t="str">
            <v>Never</v>
          </cell>
          <cell r="K17" t="str">
            <v>Amount Due to Related Companies</v>
          </cell>
        </row>
        <row r="18">
          <cell r="B18">
            <v>1302</v>
          </cell>
          <cell r="C18" t="str">
            <v>Loan-Macroview Business</v>
          </cell>
          <cell r="D18">
            <v>1</v>
          </cell>
          <cell r="E18">
            <v>2</v>
          </cell>
          <cell r="F18">
            <v>0</v>
          </cell>
          <cell r="G18" t="str">
            <v>1590</v>
          </cell>
          <cell r="H18" t="str">
            <v>Dr</v>
          </cell>
          <cell r="I18" t="str">
            <v>Yes</v>
          </cell>
          <cell r="J18" t="str">
            <v>Never</v>
          </cell>
          <cell r="K18" t="str">
            <v>Amount Due from Related Companies</v>
          </cell>
        </row>
        <row r="19">
          <cell r="B19">
            <v>1303</v>
          </cell>
          <cell r="C19" t="str">
            <v xml:space="preserve">  Loan-Software Combined Bidco Pty Ltd</v>
          </cell>
          <cell r="D19">
            <v>1</v>
          </cell>
          <cell r="E19">
            <v>2</v>
          </cell>
          <cell r="F19">
            <v>0</v>
          </cell>
          <cell r="G19" t="str">
            <v>1590</v>
          </cell>
          <cell r="H19" t="str">
            <v>Dr</v>
          </cell>
          <cell r="I19" t="str">
            <v>Yes</v>
          </cell>
          <cell r="J19" t="str">
            <v>Never</v>
          </cell>
          <cell r="K19" t="str">
            <v>Amount Due from Related Companies</v>
          </cell>
        </row>
        <row r="20">
          <cell r="B20">
            <v>1400</v>
          </cell>
          <cell r="C20" t="str">
            <v>Stock on Hand - Stores</v>
          </cell>
          <cell r="D20">
            <v>1</v>
          </cell>
          <cell r="E20">
            <v>1</v>
          </cell>
          <cell r="F20">
            <v>0</v>
          </cell>
          <cell r="G20" t="str">
            <v>1459</v>
          </cell>
          <cell r="H20" t="str">
            <v>Dr</v>
          </cell>
          <cell r="I20" t="str">
            <v>Yes</v>
          </cell>
          <cell r="J20" t="str">
            <v>Never</v>
          </cell>
          <cell r="K20" t="str">
            <v>Finished Goods</v>
          </cell>
        </row>
        <row r="21">
          <cell r="B21">
            <v>1411</v>
          </cell>
          <cell r="C21" t="str">
            <v>Stock on Hand - Engineering</v>
          </cell>
          <cell r="D21">
            <v>1</v>
          </cell>
          <cell r="E21">
            <v>1</v>
          </cell>
          <cell r="F21">
            <v>0</v>
          </cell>
          <cell r="G21" t="str">
            <v>1459</v>
          </cell>
          <cell r="H21" t="str">
            <v>Dr</v>
          </cell>
          <cell r="I21" t="str">
            <v>Yes</v>
          </cell>
          <cell r="J21" t="str">
            <v>Never</v>
          </cell>
          <cell r="K21" t="str">
            <v>Other Inventories</v>
          </cell>
        </row>
        <row r="22">
          <cell r="B22">
            <v>1418</v>
          </cell>
          <cell r="C22" t="str">
            <v>Stock on Hand - Third Party Products</v>
          </cell>
          <cell r="D22">
            <v>1</v>
          </cell>
          <cell r="E22">
            <v>1</v>
          </cell>
          <cell r="F22">
            <v>0</v>
          </cell>
          <cell r="G22" t="str">
            <v>1459</v>
          </cell>
          <cell r="H22" t="str">
            <v>Dr</v>
          </cell>
          <cell r="I22" t="str">
            <v>Yes</v>
          </cell>
          <cell r="J22" t="str">
            <v>Never</v>
          </cell>
          <cell r="K22" t="str">
            <v>Other Inventories</v>
          </cell>
        </row>
        <row r="23">
          <cell r="B23">
            <v>1420</v>
          </cell>
          <cell r="C23" t="str">
            <v>Stock on Hand - Demo/Loan Stock</v>
          </cell>
          <cell r="D23">
            <v>1</v>
          </cell>
          <cell r="E23">
            <v>1</v>
          </cell>
          <cell r="F23">
            <v>0</v>
          </cell>
          <cell r="G23" t="str">
            <v>1459</v>
          </cell>
          <cell r="H23" t="str">
            <v>Dr</v>
          </cell>
          <cell r="I23" t="str">
            <v>Yes</v>
          </cell>
          <cell r="J23" t="str">
            <v>Never</v>
          </cell>
          <cell r="K23" t="str">
            <v>Other Inventories</v>
          </cell>
        </row>
        <row r="24">
          <cell r="B24">
            <v>1422</v>
          </cell>
          <cell r="C24" t="str">
            <v>Stock on Hand - Refurbished Stock</v>
          </cell>
          <cell r="D24">
            <v>1</v>
          </cell>
          <cell r="E24">
            <v>1</v>
          </cell>
          <cell r="F24">
            <v>0</v>
          </cell>
          <cell r="G24" t="str">
            <v>1459</v>
          </cell>
          <cell r="H24" t="str">
            <v>Dr</v>
          </cell>
          <cell r="I24" t="str">
            <v>Yes</v>
          </cell>
          <cell r="J24" t="str">
            <v>Never</v>
          </cell>
          <cell r="K24" t="str">
            <v>Other Inventories</v>
          </cell>
        </row>
        <row r="25">
          <cell r="B25">
            <v>1425</v>
          </cell>
          <cell r="C25" t="str">
            <v>Stock on Hand - Service</v>
          </cell>
          <cell r="D25">
            <v>1</v>
          </cell>
          <cell r="E25">
            <v>1</v>
          </cell>
          <cell r="F25">
            <v>0</v>
          </cell>
          <cell r="G25" t="str">
            <v>1459</v>
          </cell>
          <cell r="H25" t="str">
            <v>Dr</v>
          </cell>
          <cell r="I25" t="str">
            <v>Yes</v>
          </cell>
          <cell r="J25" t="str">
            <v>Never</v>
          </cell>
          <cell r="K25" t="str">
            <v>Other Inventories</v>
          </cell>
        </row>
        <row r="26">
          <cell r="B26">
            <v>1430</v>
          </cell>
          <cell r="C26" t="str">
            <v>Stock on Hand - Manufacturing</v>
          </cell>
          <cell r="D26">
            <v>1</v>
          </cell>
          <cell r="E26">
            <v>1</v>
          </cell>
          <cell r="F26">
            <v>0</v>
          </cell>
          <cell r="G26" t="str">
            <v>1459</v>
          </cell>
          <cell r="H26" t="str">
            <v>Dr</v>
          </cell>
          <cell r="I26" t="str">
            <v>Yes</v>
          </cell>
          <cell r="J26" t="str">
            <v>Never</v>
          </cell>
          <cell r="K26" t="str">
            <v>Work in Progress</v>
          </cell>
        </row>
        <row r="27">
          <cell r="B27">
            <v>1432</v>
          </cell>
          <cell r="C27" t="str">
            <v>Stock on Hand - RMA</v>
          </cell>
          <cell r="D27">
            <v>1</v>
          </cell>
          <cell r="E27">
            <v>1</v>
          </cell>
          <cell r="F27">
            <v>0</v>
          </cell>
          <cell r="G27" t="str">
            <v>1459</v>
          </cell>
          <cell r="H27" t="str">
            <v>Dr</v>
          </cell>
          <cell r="I27" t="str">
            <v>Yes</v>
          </cell>
          <cell r="J27" t="str">
            <v>Never</v>
          </cell>
          <cell r="K27" t="str">
            <v>Other Inventories</v>
          </cell>
        </row>
        <row r="28">
          <cell r="B28">
            <v>1440</v>
          </cell>
          <cell r="C28" t="str">
            <v>Stock on Hand - SUB Manufacturing</v>
          </cell>
          <cell r="D28">
            <v>1</v>
          </cell>
          <cell r="E28">
            <v>1</v>
          </cell>
          <cell r="F28">
            <v>0</v>
          </cell>
          <cell r="G28" t="str">
            <v>1459</v>
          </cell>
          <cell r="H28" t="str">
            <v>Dr</v>
          </cell>
          <cell r="I28" t="str">
            <v>Yes</v>
          </cell>
          <cell r="J28" t="str">
            <v>Never</v>
          </cell>
          <cell r="K28" t="str">
            <v>Work in Progress</v>
          </cell>
        </row>
        <row r="29">
          <cell r="B29">
            <v>1488</v>
          </cell>
          <cell r="C29" t="str">
            <v>Market Value Adjustment to Stock</v>
          </cell>
          <cell r="D29">
            <v>1</v>
          </cell>
          <cell r="E29">
            <v>2</v>
          </cell>
          <cell r="F29">
            <v>0</v>
          </cell>
          <cell r="G29" t="str">
            <v>1590</v>
          </cell>
          <cell r="H29" t="str">
            <v>Dr</v>
          </cell>
          <cell r="I29" t="str">
            <v>Yes</v>
          </cell>
          <cell r="J29" t="str">
            <v>Never</v>
          </cell>
          <cell r="K29" t="str">
            <v>Other Inventories</v>
          </cell>
        </row>
        <row r="30">
          <cell r="B30">
            <v>1490</v>
          </cell>
          <cell r="C30" t="str">
            <v>Engineering Services WIP</v>
          </cell>
          <cell r="D30">
            <v>1</v>
          </cell>
          <cell r="E30">
            <v>1</v>
          </cell>
          <cell r="F30">
            <v>0</v>
          </cell>
          <cell r="G30" t="str">
            <v>1590</v>
          </cell>
          <cell r="H30" t="str">
            <v>Dr</v>
          </cell>
          <cell r="I30" t="str">
            <v>Yes</v>
          </cell>
          <cell r="J30" t="str">
            <v>Never</v>
          </cell>
          <cell r="K30" t="str">
            <v>Work in Progress</v>
          </cell>
        </row>
        <row r="31">
          <cell r="B31">
            <v>1495</v>
          </cell>
          <cell r="C31" t="str">
            <v>R&amp;D Services WIP</v>
          </cell>
          <cell r="D31">
            <v>1</v>
          </cell>
          <cell r="E31">
            <v>1</v>
          </cell>
          <cell r="F31">
            <v>0</v>
          </cell>
          <cell r="G31" t="str">
            <v>1498</v>
          </cell>
          <cell r="H31" t="str">
            <v>Dr</v>
          </cell>
          <cell r="I31" t="str">
            <v>Yes</v>
          </cell>
          <cell r="J31" t="str">
            <v>Never</v>
          </cell>
          <cell r="K31" t="str">
            <v>Work in Progress</v>
          </cell>
        </row>
        <row r="32">
          <cell r="B32">
            <v>1499</v>
          </cell>
          <cell r="C32" t="str">
            <v>Provision for inventory write down</v>
          </cell>
          <cell r="D32">
            <v>1</v>
          </cell>
          <cell r="E32">
            <v>1</v>
          </cell>
          <cell r="F32">
            <v>0</v>
          </cell>
          <cell r="G32" t="str">
            <v>1459</v>
          </cell>
          <cell r="H32" t="str">
            <v>Dr</v>
          </cell>
          <cell r="I32" t="str">
            <v>Yes</v>
          </cell>
          <cell r="J32" t="str">
            <v>Never</v>
          </cell>
          <cell r="K32" t="str">
            <v>Other Inventories</v>
          </cell>
        </row>
        <row r="33">
          <cell r="B33">
            <v>1500</v>
          </cell>
          <cell r="C33" t="str">
            <v>Prepayments</v>
          </cell>
          <cell r="D33">
            <v>1</v>
          </cell>
          <cell r="E33">
            <v>2</v>
          </cell>
          <cell r="F33">
            <v>0</v>
          </cell>
          <cell r="G33" t="str">
            <v>1590</v>
          </cell>
          <cell r="H33" t="str">
            <v>Dr</v>
          </cell>
          <cell r="I33" t="str">
            <v>Yes</v>
          </cell>
          <cell r="J33" t="str">
            <v>Never</v>
          </cell>
          <cell r="K33" t="str">
            <v>Prepayments</v>
          </cell>
        </row>
        <row r="34">
          <cell r="B34">
            <v>1550</v>
          </cell>
          <cell r="C34" t="str">
            <v>Deposits Paid</v>
          </cell>
          <cell r="D34">
            <v>1</v>
          </cell>
          <cell r="E34">
            <v>2</v>
          </cell>
          <cell r="F34">
            <v>0</v>
          </cell>
          <cell r="G34" t="str">
            <v>1590</v>
          </cell>
          <cell r="H34" t="str">
            <v>Dr</v>
          </cell>
          <cell r="I34" t="str">
            <v>Yes</v>
          </cell>
          <cell r="J34" t="str">
            <v>Never</v>
          </cell>
          <cell r="K34" t="str">
            <v>Security Deposit</v>
          </cell>
        </row>
        <row r="35">
          <cell r="B35">
            <v>1555</v>
          </cell>
          <cell r="C35" t="str">
            <v>TBCT Omni Inc</v>
          </cell>
          <cell r="D35">
            <v>1</v>
          </cell>
          <cell r="E35">
            <v>2</v>
          </cell>
          <cell r="F35">
            <v>0</v>
          </cell>
          <cell r="G35" t="str">
            <v>1590</v>
          </cell>
          <cell r="H35" t="str">
            <v>Dr</v>
          </cell>
          <cell r="I35" t="str">
            <v>Yes</v>
          </cell>
          <cell r="J35" t="str">
            <v>Never</v>
          </cell>
          <cell r="K35" t="str">
            <v>Account Receivables - Non-Retention</v>
          </cell>
        </row>
        <row r="36">
          <cell r="B36">
            <v>1520</v>
          </cell>
          <cell r="C36" t="str">
            <v>Advance</v>
          </cell>
          <cell r="D36">
            <v>1</v>
          </cell>
          <cell r="E36">
            <v>2</v>
          </cell>
          <cell r="F36">
            <v>0</v>
          </cell>
          <cell r="G36" t="str">
            <v>1590</v>
          </cell>
          <cell r="H36" t="str">
            <v>Dr</v>
          </cell>
          <cell r="I36" t="str">
            <v>Yes</v>
          </cell>
          <cell r="J36" t="str">
            <v>Never</v>
          </cell>
          <cell r="K36" t="str">
            <v>Account Receivables - Non-Retention</v>
          </cell>
        </row>
        <row r="37">
          <cell r="B37">
            <v>1560</v>
          </cell>
          <cell r="C37" t="str">
            <v>Security Dpst/Keys (Qld)</v>
          </cell>
          <cell r="D37">
            <v>1</v>
          </cell>
          <cell r="E37">
            <v>2</v>
          </cell>
          <cell r="F37">
            <v>0</v>
          </cell>
          <cell r="G37" t="str">
            <v>1590</v>
          </cell>
          <cell r="H37" t="str">
            <v>Dr</v>
          </cell>
          <cell r="I37" t="str">
            <v>Yes</v>
          </cell>
          <cell r="J37" t="str">
            <v>Never</v>
          </cell>
          <cell r="K37" t="str">
            <v>Security Deposit</v>
          </cell>
        </row>
        <row r="38">
          <cell r="B38">
            <v>1702</v>
          </cell>
          <cell r="C38" t="str">
            <v>Fixed Assets Clearing</v>
          </cell>
          <cell r="K38" t="str">
            <v>Other PPE</v>
          </cell>
        </row>
        <row r="39">
          <cell r="B39">
            <v>1850</v>
          </cell>
          <cell r="C39" t="str">
            <v>Deferred Tax Asset</v>
          </cell>
          <cell r="K39" t="str">
            <v>LT Deferred Tax Assets</v>
          </cell>
        </row>
        <row r="40">
          <cell r="B40">
            <v>1710</v>
          </cell>
          <cell r="C40" t="str">
            <v>Property Plant &amp; Equipment</v>
          </cell>
          <cell r="D40">
            <v>1</v>
          </cell>
          <cell r="E40">
            <v>2</v>
          </cell>
          <cell r="F40">
            <v>0</v>
          </cell>
          <cell r="G40" t="str">
            <v>1890</v>
          </cell>
          <cell r="H40" t="str">
            <v>Dr</v>
          </cell>
          <cell r="I40" t="str">
            <v>Yes</v>
          </cell>
          <cell r="J40" t="str">
            <v>Never</v>
          </cell>
          <cell r="K40" t="str">
            <v>Other PPE</v>
          </cell>
        </row>
        <row r="41">
          <cell r="B41">
            <v>1711</v>
          </cell>
          <cell r="C41" t="str">
            <v>Less Accumulated Depreciation</v>
          </cell>
          <cell r="D41">
            <v>1</v>
          </cell>
          <cell r="E41">
            <v>2</v>
          </cell>
          <cell r="F41">
            <v>0</v>
          </cell>
          <cell r="G41" t="str">
            <v>1890</v>
          </cell>
          <cell r="H41" t="str">
            <v>Dr</v>
          </cell>
          <cell r="I41" t="str">
            <v>Yes</v>
          </cell>
          <cell r="J41" t="str">
            <v>Never</v>
          </cell>
          <cell r="K41" t="str">
            <v>Other PPE</v>
          </cell>
        </row>
        <row r="42">
          <cell r="B42">
            <v>1715</v>
          </cell>
          <cell r="C42" t="str">
            <v>Computer Equipment</v>
          </cell>
          <cell r="D42">
            <v>1</v>
          </cell>
          <cell r="E42">
            <v>2</v>
          </cell>
          <cell r="F42">
            <v>0</v>
          </cell>
          <cell r="G42" t="str">
            <v>1890</v>
          </cell>
          <cell r="H42" t="str">
            <v>Dr</v>
          </cell>
          <cell r="I42" t="str">
            <v>Yes</v>
          </cell>
          <cell r="J42" t="str">
            <v>Never</v>
          </cell>
          <cell r="K42" t="str">
            <v>Other PPE</v>
          </cell>
        </row>
        <row r="43">
          <cell r="B43">
            <v>1716</v>
          </cell>
          <cell r="C43" t="str">
            <v>Less Accumulated Depreciation</v>
          </cell>
          <cell r="D43">
            <v>1</v>
          </cell>
          <cell r="E43">
            <v>2</v>
          </cell>
          <cell r="F43">
            <v>0</v>
          </cell>
          <cell r="G43" t="str">
            <v>1890</v>
          </cell>
          <cell r="H43" t="str">
            <v>Dr</v>
          </cell>
          <cell r="I43" t="str">
            <v>Yes</v>
          </cell>
          <cell r="J43" t="str">
            <v>Never</v>
          </cell>
          <cell r="K43" t="str">
            <v>Other PPE</v>
          </cell>
        </row>
        <row r="44">
          <cell r="B44">
            <v>1720</v>
          </cell>
          <cell r="C44" t="str">
            <v>Leasehold Improvements</v>
          </cell>
          <cell r="D44">
            <v>1</v>
          </cell>
          <cell r="E44">
            <v>2</v>
          </cell>
          <cell r="F44">
            <v>0</v>
          </cell>
          <cell r="G44" t="str">
            <v>1890</v>
          </cell>
          <cell r="H44" t="str">
            <v>Dr</v>
          </cell>
          <cell r="I44" t="str">
            <v>Yes</v>
          </cell>
          <cell r="J44" t="str">
            <v>Never</v>
          </cell>
          <cell r="K44" t="str">
            <v>Other PPE</v>
          </cell>
        </row>
        <row r="45">
          <cell r="B45">
            <v>1721</v>
          </cell>
          <cell r="C45" t="str">
            <v>Less Accumulated Depreciation</v>
          </cell>
          <cell r="D45">
            <v>1</v>
          </cell>
          <cell r="E45">
            <v>2</v>
          </cell>
          <cell r="F45">
            <v>0</v>
          </cell>
          <cell r="G45" t="str">
            <v>1890</v>
          </cell>
          <cell r="H45" t="str">
            <v>Dr</v>
          </cell>
          <cell r="I45" t="str">
            <v>Yes</v>
          </cell>
          <cell r="J45" t="str">
            <v>Never</v>
          </cell>
          <cell r="K45" t="str">
            <v>Other PPE</v>
          </cell>
        </row>
        <row r="46">
          <cell r="B46">
            <v>1722</v>
          </cell>
          <cell r="C46" t="str">
            <v>Harrogate Offices</v>
          </cell>
          <cell r="D46">
            <v>1</v>
          </cell>
          <cell r="E46">
            <v>2</v>
          </cell>
          <cell r="F46">
            <v>0</v>
          </cell>
          <cell r="G46" t="str">
            <v>1891</v>
          </cell>
          <cell r="H46" t="str">
            <v>Dr</v>
          </cell>
          <cell r="I46" t="str">
            <v>Yes</v>
          </cell>
          <cell r="J46" t="str">
            <v>Never</v>
          </cell>
          <cell r="K46" t="str">
            <v>Other PPE</v>
          </cell>
        </row>
        <row r="47">
          <cell r="B47">
            <v>1730</v>
          </cell>
          <cell r="C47" t="str">
            <v>Low Value Pool</v>
          </cell>
          <cell r="D47">
            <v>1</v>
          </cell>
          <cell r="E47">
            <v>2</v>
          </cell>
          <cell r="F47">
            <v>0</v>
          </cell>
          <cell r="G47" t="str">
            <v>1890</v>
          </cell>
          <cell r="H47" t="str">
            <v>Dr</v>
          </cell>
          <cell r="I47" t="str">
            <v>Yes</v>
          </cell>
          <cell r="J47" t="str">
            <v>Never</v>
          </cell>
          <cell r="K47" t="str">
            <v>Other PPE</v>
          </cell>
        </row>
        <row r="48">
          <cell r="B48">
            <v>1731</v>
          </cell>
          <cell r="C48" t="str">
            <v>Less Accumulated Depreciation</v>
          </cell>
          <cell r="D48">
            <v>1</v>
          </cell>
          <cell r="E48">
            <v>2</v>
          </cell>
          <cell r="F48">
            <v>0</v>
          </cell>
          <cell r="G48" t="str">
            <v>1890</v>
          </cell>
          <cell r="H48" t="str">
            <v>Dr</v>
          </cell>
          <cell r="I48" t="str">
            <v>Yes</v>
          </cell>
          <cell r="J48" t="str">
            <v>Never</v>
          </cell>
          <cell r="K48" t="str">
            <v>Other PPE</v>
          </cell>
        </row>
        <row r="49">
          <cell r="B49">
            <v>1740</v>
          </cell>
          <cell r="C49" t="str">
            <v>SBE General Pool</v>
          </cell>
          <cell r="D49">
            <v>1</v>
          </cell>
          <cell r="E49">
            <v>2</v>
          </cell>
          <cell r="F49">
            <v>0</v>
          </cell>
          <cell r="G49" t="str">
            <v>1890</v>
          </cell>
          <cell r="H49" t="str">
            <v>Dr</v>
          </cell>
          <cell r="I49" t="str">
            <v>Yes</v>
          </cell>
          <cell r="J49" t="str">
            <v>Never</v>
          </cell>
          <cell r="K49" t="str">
            <v>Other PPE</v>
          </cell>
        </row>
        <row r="50">
          <cell r="B50">
            <v>1750</v>
          </cell>
          <cell r="C50" t="str">
            <v>Computer Software</v>
          </cell>
          <cell r="D50">
            <v>1</v>
          </cell>
          <cell r="E50">
            <v>2</v>
          </cell>
          <cell r="F50">
            <v>0</v>
          </cell>
          <cell r="G50" t="str">
            <v>1890</v>
          </cell>
          <cell r="H50" t="str">
            <v>Dr</v>
          </cell>
          <cell r="I50" t="str">
            <v>Yes</v>
          </cell>
          <cell r="J50" t="str">
            <v>Never</v>
          </cell>
          <cell r="K50" t="str">
            <v>IA - Others</v>
          </cell>
        </row>
        <row r="51">
          <cell r="B51">
            <v>1751</v>
          </cell>
          <cell r="C51" t="str">
            <v>Less Accumulated Depreciation</v>
          </cell>
          <cell r="D51">
            <v>1</v>
          </cell>
          <cell r="E51">
            <v>2</v>
          </cell>
          <cell r="F51">
            <v>0</v>
          </cell>
          <cell r="G51" t="str">
            <v>1890</v>
          </cell>
          <cell r="H51" t="str">
            <v>Dr</v>
          </cell>
          <cell r="I51" t="str">
            <v>Yes</v>
          </cell>
          <cell r="J51" t="str">
            <v>Never</v>
          </cell>
          <cell r="K51" t="str">
            <v>IA - Others</v>
          </cell>
        </row>
        <row r="52">
          <cell r="B52">
            <v>1755</v>
          </cell>
          <cell r="C52" t="str">
            <v>Motor vehicles - cost</v>
          </cell>
          <cell r="D52">
            <v>1</v>
          </cell>
          <cell r="E52">
            <v>2</v>
          </cell>
          <cell r="F52">
            <v>0</v>
          </cell>
          <cell r="G52" t="str">
            <v>1890</v>
          </cell>
          <cell r="H52" t="str">
            <v>Dr</v>
          </cell>
          <cell r="I52" t="str">
            <v>Yes</v>
          </cell>
          <cell r="J52" t="str">
            <v>Never</v>
          </cell>
          <cell r="K52" t="str">
            <v>Other PPE</v>
          </cell>
        </row>
        <row r="53">
          <cell r="B53">
            <v>1756</v>
          </cell>
          <cell r="C53" t="str">
            <v>Less Accumulated Depreciation</v>
          </cell>
          <cell r="D53">
            <v>1</v>
          </cell>
          <cell r="E53">
            <v>2</v>
          </cell>
          <cell r="F53">
            <v>0</v>
          </cell>
          <cell r="G53" t="str">
            <v>1890</v>
          </cell>
          <cell r="H53" t="str">
            <v>Dr</v>
          </cell>
          <cell r="I53" t="str">
            <v>Yes</v>
          </cell>
          <cell r="J53" t="str">
            <v>Never</v>
          </cell>
          <cell r="K53" t="str">
            <v>Other PPE</v>
          </cell>
        </row>
        <row r="54">
          <cell r="B54">
            <v>1760</v>
          </cell>
          <cell r="C54" t="str">
            <v>Intangibles</v>
          </cell>
          <cell r="D54">
            <v>1</v>
          </cell>
          <cell r="E54">
            <v>2</v>
          </cell>
          <cell r="F54">
            <v>0</v>
          </cell>
          <cell r="G54" t="str">
            <v>1890</v>
          </cell>
          <cell r="H54" t="str">
            <v>Dr</v>
          </cell>
          <cell r="I54" t="str">
            <v>Yes</v>
          </cell>
          <cell r="J54" t="str">
            <v>Never</v>
          </cell>
          <cell r="K54" t="str">
            <v>IA - Trademark</v>
          </cell>
        </row>
        <row r="55">
          <cell r="B55">
            <v>1770</v>
          </cell>
          <cell r="C55" t="str">
            <v>Loan Equipment</v>
          </cell>
          <cell r="D55">
            <v>1</v>
          </cell>
          <cell r="E55">
            <v>2</v>
          </cell>
          <cell r="F55">
            <v>0</v>
          </cell>
          <cell r="G55" t="str">
            <v>1890</v>
          </cell>
          <cell r="H55" t="str">
            <v>Dr</v>
          </cell>
          <cell r="I55" t="str">
            <v>Yes</v>
          </cell>
          <cell r="J55" t="str">
            <v>Never</v>
          </cell>
          <cell r="K55" t="str">
            <v>Other PPE</v>
          </cell>
        </row>
        <row r="56">
          <cell r="B56">
            <v>1771</v>
          </cell>
          <cell r="C56" t="str">
            <v>Less Accumulated Depreciation</v>
          </cell>
          <cell r="D56">
            <v>1</v>
          </cell>
          <cell r="E56">
            <v>2</v>
          </cell>
          <cell r="F56">
            <v>0</v>
          </cell>
          <cell r="G56" t="str">
            <v>1890</v>
          </cell>
          <cell r="H56" t="str">
            <v>Dr</v>
          </cell>
          <cell r="I56" t="str">
            <v>Yes</v>
          </cell>
          <cell r="J56" t="str">
            <v>Never</v>
          </cell>
          <cell r="K56" t="str">
            <v>Other PPE</v>
          </cell>
        </row>
        <row r="57">
          <cell r="B57">
            <v>1705</v>
          </cell>
          <cell r="C57" t="str">
            <v>Right-of-use assets</v>
          </cell>
          <cell r="D57">
            <v>1</v>
          </cell>
          <cell r="E57">
            <v>2</v>
          </cell>
          <cell r="F57">
            <v>0</v>
          </cell>
          <cell r="G57" t="str">
            <v>1890</v>
          </cell>
          <cell r="H57" t="str">
            <v>Dr</v>
          </cell>
          <cell r="I57" t="str">
            <v>Yes</v>
          </cell>
          <cell r="J57" t="str">
            <v>Never</v>
          </cell>
          <cell r="K57" t="str">
            <v>ROU Assets</v>
          </cell>
        </row>
        <row r="58">
          <cell r="B58">
            <v>1706</v>
          </cell>
          <cell r="C58" t="str">
            <v>Less Accum Depn ROU Assets</v>
          </cell>
          <cell r="D58">
            <v>1</v>
          </cell>
          <cell r="E58">
            <v>2</v>
          </cell>
          <cell r="F58">
            <v>0</v>
          </cell>
          <cell r="G58" t="str">
            <v>1890</v>
          </cell>
          <cell r="H58" t="str">
            <v>Dr</v>
          </cell>
          <cell r="I58" t="str">
            <v>Yes</v>
          </cell>
          <cell r="J58" t="str">
            <v>Never</v>
          </cell>
          <cell r="K58" t="str">
            <v>ROU Assets</v>
          </cell>
        </row>
        <row r="59">
          <cell r="B59">
            <v>1780</v>
          </cell>
          <cell r="C59" t="str">
            <v>Software PPA cost</v>
          </cell>
          <cell r="D59">
            <v>1</v>
          </cell>
          <cell r="E59">
            <v>2</v>
          </cell>
          <cell r="F59">
            <v>0</v>
          </cell>
          <cell r="G59" t="str">
            <v>1890</v>
          </cell>
          <cell r="H59" t="str">
            <v>Dr</v>
          </cell>
          <cell r="I59" t="str">
            <v>Yes</v>
          </cell>
          <cell r="J59" t="str">
            <v>Never</v>
          </cell>
          <cell r="K59" t="str">
            <v>Other PPE</v>
          </cell>
        </row>
        <row r="60">
          <cell r="B60">
            <v>1781</v>
          </cell>
          <cell r="C60" t="str">
            <v>Less Accumulated Depreciation</v>
          </cell>
          <cell r="D60">
            <v>1</v>
          </cell>
          <cell r="E60">
            <v>2</v>
          </cell>
          <cell r="F60">
            <v>0</v>
          </cell>
          <cell r="G60" t="str">
            <v>1890</v>
          </cell>
          <cell r="H60" t="str">
            <v>Dr</v>
          </cell>
          <cell r="I60" t="str">
            <v>Yes</v>
          </cell>
          <cell r="J60" t="str">
            <v>Never</v>
          </cell>
          <cell r="K60" t="str">
            <v>Other PPE</v>
          </cell>
        </row>
        <row r="61">
          <cell r="B61">
            <v>1782</v>
          </cell>
          <cell r="C61" t="str">
            <v>Customer relationship PPA cost</v>
          </cell>
          <cell r="D61">
            <v>1</v>
          </cell>
          <cell r="E61">
            <v>2</v>
          </cell>
          <cell r="F61">
            <v>0</v>
          </cell>
          <cell r="G61" t="str">
            <v>1890</v>
          </cell>
          <cell r="H61" t="str">
            <v>Dr</v>
          </cell>
          <cell r="I61" t="str">
            <v>Yes</v>
          </cell>
          <cell r="J61" t="str">
            <v>Never</v>
          </cell>
          <cell r="K61" t="str">
            <v>Other PPE</v>
          </cell>
        </row>
        <row r="62">
          <cell r="B62">
            <v>1783</v>
          </cell>
          <cell r="C62" t="str">
            <v>Less Accumulated Depreciation</v>
          </cell>
          <cell r="D62">
            <v>1</v>
          </cell>
          <cell r="E62">
            <v>2</v>
          </cell>
          <cell r="F62">
            <v>0</v>
          </cell>
          <cell r="G62" t="str">
            <v>1890</v>
          </cell>
          <cell r="H62" t="str">
            <v>Dr</v>
          </cell>
          <cell r="I62" t="str">
            <v>Yes</v>
          </cell>
          <cell r="J62" t="str">
            <v>Never</v>
          </cell>
          <cell r="K62" t="str">
            <v>Other PPE</v>
          </cell>
        </row>
        <row r="63">
          <cell r="B63">
            <v>1784</v>
          </cell>
          <cell r="C63" t="str">
            <v>Intellectual property PPA cost</v>
          </cell>
          <cell r="D63">
            <v>1</v>
          </cell>
          <cell r="E63">
            <v>2</v>
          </cell>
          <cell r="F63">
            <v>0</v>
          </cell>
          <cell r="G63" t="str">
            <v>1890</v>
          </cell>
          <cell r="H63" t="str">
            <v>Dr</v>
          </cell>
          <cell r="I63" t="str">
            <v>Yes</v>
          </cell>
          <cell r="J63" t="str">
            <v>Never</v>
          </cell>
          <cell r="K63" t="str">
            <v>Other PPE</v>
          </cell>
        </row>
        <row r="64">
          <cell r="B64">
            <v>1785</v>
          </cell>
          <cell r="C64" t="str">
            <v>Less Accumulated Depreciation</v>
          </cell>
          <cell r="D64">
            <v>1</v>
          </cell>
          <cell r="E64">
            <v>2</v>
          </cell>
          <cell r="F64">
            <v>0</v>
          </cell>
          <cell r="G64" t="str">
            <v>1890</v>
          </cell>
          <cell r="H64" t="str">
            <v>Dr</v>
          </cell>
          <cell r="I64" t="str">
            <v>Yes</v>
          </cell>
          <cell r="J64" t="str">
            <v>Never</v>
          </cell>
          <cell r="K64" t="str">
            <v>Other PPE</v>
          </cell>
        </row>
        <row r="65">
          <cell r="B65">
            <v>2100</v>
          </cell>
          <cell r="C65" t="str">
            <v>Trade Creditors</v>
          </cell>
          <cell r="D65">
            <v>1</v>
          </cell>
          <cell r="E65">
            <v>2</v>
          </cell>
          <cell r="F65">
            <v>0</v>
          </cell>
          <cell r="G65" t="str">
            <v>2790</v>
          </cell>
          <cell r="H65" t="str">
            <v>Cr</v>
          </cell>
          <cell r="I65" t="str">
            <v>Yes</v>
          </cell>
          <cell r="J65" t="str">
            <v>Never</v>
          </cell>
          <cell r="K65" t="str">
            <v>Trade Payable (Excl Trade Financing)</v>
          </cell>
        </row>
        <row r="66">
          <cell r="B66">
            <v>2150</v>
          </cell>
          <cell r="C66" t="str">
            <v>Accruals</v>
          </cell>
          <cell r="D66">
            <v>1</v>
          </cell>
          <cell r="E66">
            <v>2</v>
          </cell>
          <cell r="F66">
            <v>0</v>
          </cell>
          <cell r="G66" t="str">
            <v>2790</v>
          </cell>
          <cell r="H66" t="str">
            <v>Cr</v>
          </cell>
          <cell r="I66" t="str">
            <v>Yes</v>
          </cell>
          <cell r="J66" t="str">
            <v>Never</v>
          </cell>
          <cell r="K66" t="str">
            <v>Accrued Expenses</v>
          </cell>
        </row>
        <row r="67">
          <cell r="B67">
            <v>2160</v>
          </cell>
          <cell r="C67" t="str">
            <v>EMC Accruals</v>
          </cell>
          <cell r="D67">
            <v>1</v>
          </cell>
          <cell r="E67">
            <v>2</v>
          </cell>
          <cell r="F67">
            <v>0</v>
          </cell>
          <cell r="G67" t="str">
            <v>2790</v>
          </cell>
          <cell r="H67" t="str">
            <v>Cr</v>
          </cell>
          <cell r="I67" t="str">
            <v>Yes</v>
          </cell>
          <cell r="J67" t="str">
            <v>Never</v>
          </cell>
          <cell r="K67" t="str">
            <v>Accrued Expenses</v>
          </cell>
        </row>
        <row r="68">
          <cell r="B68">
            <v>2190</v>
          </cell>
          <cell r="C68" t="str">
            <v>Tax Payable</v>
          </cell>
          <cell r="D68">
            <v>1</v>
          </cell>
          <cell r="E68">
            <v>2</v>
          </cell>
          <cell r="F68">
            <v>0</v>
          </cell>
          <cell r="G68" t="str">
            <v>2790</v>
          </cell>
          <cell r="H68" t="str">
            <v>Cr</v>
          </cell>
          <cell r="I68" t="str">
            <v>Yes</v>
          </cell>
          <cell r="J68" t="str">
            <v>Never</v>
          </cell>
          <cell r="K68" t="str">
            <v>Tax Payables</v>
          </cell>
        </row>
        <row r="69">
          <cell r="B69">
            <v>2191</v>
          </cell>
          <cell r="C69" t="str">
            <v>Income Tax Deferred</v>
          </cell>
          <cell r="D69">
            <v>1</v>
          </cell>
          <cell r="E69">
            <v>2</v>
          </cell>
          <cell r="F69">
            <v>0</v>
          </cell>
          <cell r="G69" t="str">
            <v>2790</v>
          </cell>
          <cell r="H69" t="str">
            <v>Cr</v>
          </cell>
          <cell r="I69" t="str">
            <v>Yes</v>
          </cell>
          <cell r="J69" t="str">
            <v>Never</v>
          </cell>
          <cell r="K69" t="str">
            <v>Tax Payables</v>
          </cell>
        </row>
        <row r="70">
          <cell r="B70">
            <v>2200</v>
          </cell>
          <cell r="C70" t="str">
            <v>Insurance Funding</v>
          </cell>
          <cell r="D70">
            <v>1</v>
          </cell>
          <cell r="E70">
            <v>2</v>
          </cell>
          <cell r="F70">
            <v>0</v>
          </cell>
          <cell r="G70" t="str">
            <v>2790</v>
          </cell>
          <cell r="H70" t="str">
            <v>Cr</v>
          </cell>
          <cell r="I70" t="str">
            <v>Yes</v>
          </cell>
          <cell r="J70" t="str">
            <v>Never</v>
          </cell>
          <cell r="K70" t="str">
            <v>ST Loan</v>
          </cell>
        </row>
        <row r="71">
          <cell r="B71">
            <v>2300</v>
          </cell>
          <cell r="C71" t="str">
            <v>Goods Received Accrual</v>
          </cell>
          <cell r="D71">
            <v>1</v>
          </cell>
          <cell r="E71">
            <v>2</v>
          </cell>
          <cell r="F71">
            <v>0</v>
          </cell>
          <cell r="G71" t="str">
            <v>2790</v>
          </cell>
          <cell r="H71" t="str">
            <v>Cr</v>
          </cell>
          <cell r="I71" t="str">
            <v>Yes</v>
          </cell>
          <cell r="J71" t="str">
            <v>Never</v>
          </cell>
          <cell r="K71" t="str">
            <v>Accrued Expenses</v>
          </cell>
        </row>
        <row r="72">
          <cell r="B72">
            <v>2400</v>
          </cell>
          <cell r="C72" t="str">
            <v>Projects Income Received in Advance</v>
          </cell>
          <cell r="D72">
            <v>1</v>
          </cell>
          <cell r="E72">
            <v>1</v>
          </cell>
          <cell r="F72">
            <v>0</v>
          </cell>
          <cell r="G72" t="str">
            <v>2420</v>
          </cell>
          <cell r="H72" t="str">
            <v>Cr</v>
          </cell>
          <cell r="I72" t="str">
            <v>Yes</v>
          </cell>
          <cell r="J72" t="str">
            <v>Never</v>
          </cell>
          <cell r="K72" t="str">
            <v>Customers' Deposits</v>
          </cell>
        </row>
        <row r="73">
          <cell r="B73">
            <v>2425</v>
          </cell>
          <cell r="C73" t="str">
            <v>Provision for Return</v>
          </cell>
          <cell r="D73">
            <v>1</v>
          </cell>
          <cell r="E73">
            <v>1</v>
          </cell>
          <cell r="F73">
            <v>0</v>
          </cell>
          <cell r="G73" t="str">
            <v>2790</v>
          </cell>
          <cell r="H73" t="str">
            <v>Cr</v>
          </cell>
          <cell r="I73" t="str">
            <v>Yes</v>
          </cell>
          <cell r="J73" t="str">
            <v>Never</v>
          </cell>
          <cell r="K73" t="str">
            <v>Customers' Deposits</v>
          </cell>
        </row>
        <row r="74">
          <cell r="B74">
            <v>2410</v>
          </cell>
          <cell r="C74" t="str">
            <v>SMA Income Received in Advance</v>
          </cell>
          <cell r="D74">
            <v>1</v>
          </cell>
          <cell r="E74">
            <v>1</v>
          </cell>
          <cell r="F74">
            <v>0</v>
          </cell>
          <cell r="G74" t="str">
            <v>2420</v>
          </cell>
          <cell r="H74" t="str">
            <v>Cr</v>
          </cell>
          <cell r="I74" t="str">
            <v>Yes</v>
          </cell>
          <cell r="J74" t="str">
            <v>Never</v>
          </cell>
          <cell r="K74" t="str">
            <v>Deferred Income</v>
          </cell>
        </row>
        <row r="75">
          <cell r="B75">
            <v>2480</v>
          </cell>
          <cell r="C75" t="str">
            <v>Lease Liabilities - current</v>
          </cell>
          <cell r="D75">
            <v>1</v>
          </cell>
          <cell r="E75">
            <v>1</v>
          </cell>
          <cell r="F75">
            <v>0</v>
          </cell>
          <cell r="G75" t="str">
            <v>2420</v>
          </cell>
          <cell r="H75" t="str">
            <v>Cr</v>
          </cell>
          <cell r="I75" t="str">
            <v>Yes</v>
          </cell>
          <cell r="J75" t="str">
            <v>Never</v>
          </cell>
          <cell r="K75" t="str">
            <v>ST Lease Liabilities</v>
          </cell>
        </row>
        <row r="76">
          <cell r="B76">
            <v>2500</v>
          </cell>
          <cell r="C76" t="str">
            <v>System Accruals</v>
          </cell>
          <cell r="D76">
            <v>1</v>
          </cell>
          <cell r="E76">
            <v>2</v>
          </cell>
          <cell r="F76">
            <v>0</v>
          </cell>
          <cell r="G76" t="str">
            <v>2790</v>
          </cell>
          <cell r="H76" t="str">
            <v>Cr</v>
          </cell>
          <cell r="I76" t="str">
            <v>Yes</v>
          </cell>
          <cell r="J76" t="str">
            <v>Never</v>
          </cell>
          <cell r="K76" t="str">
            <v>Accrued Expenses</v>
          </cell>
        </row>
        <row r="77">
          <cell r="B77">
            <v>2600</v>
          </cell>
          <cell r="C77" t="str">
            <v>GST Paid</v>
          </cell>
          <cell r="D77">
            <v>1</v>
          </cell>
          <cell r="E77">
            <v>2</v>
          </cell>
          <cell r="F77">
            <v>0</v>
          </cell>
          <cell r="G77" t="str">
            <v>2790</v>
          </cell>
          <cell r="H77" t="str">
            <v>Cr</v>
          </cell>
          <cell r="I77" t="str">
            <v>Yes</v>
          </cell>
          <cell r="J77" t="str">
            <v>Never</v>
          </cell>
          <cell r="K77" t="str">
            <v>Other Payables</v>
          </cell>
        </row>
        <row r="78">
          <cell r="B78">
            <v>2610</v>
          </cell>
          <cell r="C78" t="str">
            <v>GST Collected</v>
          </cell>
          <cell r="D78">
            <v>1</v>
          </cell>
          <cell r="E78">
            <v>2</v>
          </cell>
          <cell r="F78">
            <v>0</v>
          </cell>
          <cell r="G78" t="str">
            <v>2790</v>
          </cell>
          <cell r="H78" t="str">
            <v>Cr</v>
          </cell>
          <cell r="I78" t="str">
            <v>Yes</v>
          </cell>
          <cell r="J78" t="str">
            <v>Never</v>
          </cell>
          <cell r="K78" t="str">
            <v>Other Payables</v>
          </cell>
        </row>
        <row r="79">
          <cell r="B79">
            <v>2630</v>
          </cell>
          <cell r="C79" t="str">
            <v>GST Accrued</v>
          </cell>
          <cell r="D79">
            <v>1</v>
          </cell>
          <cell r="E79">
            <v>2</v>
          </cell>
          <cell r="F79">
            <v>0</v>
          </cell>
          <cell r="G79" t="str">
            <v>2790</v>
          </cell>
          <cell r="H79" t="str">
            <v>Cr</v>
          </cell>
          <cell r="I79" t="str">
            <v>Yes</v>
          </cell>
          <cell r="J79" t="str">
            <v>Never</v>
          </cell>
          <cell r="K79" t="str">
            <v>Other Payables</v>
          </cell>
        </row>
        <row r="80">
          <cell r="B80">
            <v>2700</v>
          </cell>
          <cell r="C80" t="str">
            <v>Payroll Accruals</v>
          </cell>
          <cell r="D80">
            <v>1</v>
          </cell>
          <cell r="E80">
            <v>1</v>
          </cell>
          <cell r="F80">
            <v>0</v>
          </cell>
          <cell r="G80" t="str">
            <v>2790</v>
          </cell>
          <cell r="H80" t="str">
            <v>Cr</v>
          </cell>
          <cell r="I80" t="str">
            <v>Yes</v>
          </cell>
          <cell r="J80" t="str">
            <v>Never</v>
          </cell>
          <cell r="K80" t="str">
            <v>Other Payables</v>
          </cell>
        </row>
        <row r="81">
          <cell r="B81">
            <v>2710</v>
          </cell>
          <cell r="C81" t="str">
            <v>Superannuation Payable</v>
          </cell>
          <cell r="D81">
            <v>1</v>
          </cell>
          <cell r="E81">
            <v>1</v>
          </cell>
          <cell r="F81">
            <v>0</v>
          </cell>
          <cell r="G81" t="str">
            <v>2790</v>
          </cell>
          <cell r="H81" t="str">
            <v>Cr</v>
          </cell>
          <cell r="I81" t="str">
            <v>Yes</v>
          </cell>
          <cell r="J81" t="str">
            <v>Never</v>
          </cell>
          <cell r="K81" t="str">
            <v>Other Payables</v>
          </cell>
        </row>
        <row r="82">
          <cell r="B82">
            <v>2720</v>
          </cell>
          <cell r="C82" t="str">
            <v>Accrued Annual Leave</v>
          </cell>
          <cell r="D82">
            <v>1</v>
          </cell>
          <cell r="E82">
            <v>1</v>
          </cell>
          <cell r="F82">
            <v>0</v>
          </cell>
          <cell r="G82" t="str">
            <v>2790</v>
          </cell>
          <cell r="H82" t="str">
            <v>Cr</v>
          </cell>
          <cell r="I82" t="str">
            <v>Yes</v>
          </cell>
          <cell r="J82" t="str">
            <v>Never</v>
          </cell>
          <cell r="K82" t="str">
            <v>Provisions</v>
          </cell>
        </row>
        <row r="83">
          <cell r="B83">
            <v>2725</v>
          </cell>
          <cell r="C83" t="str">
            <v>Accrued LSL</v>
          </cell>
          <cell r="D83">
            <v>1</v>
          </cell>
          <cell r="E83">
            <v>1</v>
          </cell>
          <cell r="F83">
            <v>0</v>
          </cell>
          <cell r="G83" t="str">
            <v>2790</v>
          </cell>
          <cell r="H83" t="str">
            <v>Cr</v>
          </cell>
          <cell r="I83" t="str">
            <v>Yes</v>
          </cell>
          <cell r="J83" t="str">
            <v>Never</v>
          </cell>
          <cell r="K83" t="str">
            <v>Provisions</v>
          </cell>
        </row>
        <row r="84">
          <cell r="B84">
            <v>2730</v>
          </cell>
          <cell r="C84" t="str">
            <v>FBT</v>
          </cell>
          <cell r="D84">
            <v>1</v>
          </cell>
          <cell r="E84">
            <v>1</v>
          </cell>
          <cell r="F84">
            <v>0</v>
          </cell>
          <cell r="G84" t="str">
            <v>2790</v>
          </cell>
          <cell r="H84" t="str">
            <v>Cr</v>
          </cell>
          <cell r="I84" t="str">
            <v>Yes</v>
          </cell>
          <cell r="J84" t="str">
            <v>Never</v>
          </cell>
          <cell r="K84" t="str">
            <v>Accrued Expenses</v>
          </cell>
        </row>
        <row r="85">
          <cell r="B85">
            <v>2740</v>
          </cell>
          <cell r="C85" t="str">
            <v>PAYG</v>
          </cell>
          <cell r="D85">
            <v>1</v>
          </cell>
          <cell r="E85">
            <v>1</v>
          </cell>
          <cell r="F85">
            <v>0</v>
          </cell>
          <cell r="G85" t="str">
            <v>2790</v>
          </cell>
          <cell r="H85" t="str">
            <v>Cr</v>
          </cell>
          <cell r="I85" t="str">
            <v>Yes</v>
          </cell>
          <cell r="J85" t="str">
            <v>Never</v>
          </cell>
          <cell r="K85" t="str">
            <v>Other Payables</v>
          </cell>
        </row>
        <row r="86">
          <cell r="B86">
            <v>2750</v>
          </cell>
          <cell r="C86" t="str">
            <v>Payroll Tax Payable</v>
          </cell>
          <cell r="D86">
            <v>1</v>
          </cell>
          <cell r="E86">
            <v>1</v>
          </cell>
          <cell r="F86">
            <v>0</v>
          </cell>
          <cell r="G86" t="str">
            <v>2790</v>
          </cell>
          <cell r="H86" t="str">
            <v>Cr</v>
          </cell>
          <cell r="I86" t="str">
            <v>Yes</v>
          </cell>
          <cell r="J86" t="str">
            <v>Never</v>
          </cell>
          <cell r="K86" t="str">
            <v>Other Payables</v>
          </cell>
        </row>
        <row r="87">
          <cell r="B87">
            <v>2726</v>
          </cell>
          <cell r="C87" t="str">
            <v>Accrued LSL Non Current</v>
          </cell>
          <cell r="D87">
            <v>1</v>
          </cell>
          <cell r="E87">
            <v>1</v>
          </cell>
          <cell r="F87">
            <v>0</v>
          </cell>
          <cell r="G87" t="str">
            <v>2790</v>
          </cell>
          <cell r="H87" t="str">
            <v>Cr</v>
          </cell>
          <cell r="I87" t="str">
            <v>Yes</v>
          </cell>
          <cell r="J87" t="str">
            <v>Never</v>
          </cell>
          <cell r="K87" t="str">
            <v>Other Long Term Liabilities</v>
          </cell>
        </row>
        <row r="88">
          <cell r="B88">
            <v>2760</v>
          </cell>
          <cell r="C88" t="str">
            <v>ST Loan - Software Combined</v>
          </cell>
          <cell r="D88">
            <v>1</v>
          </cell>
          <cell r="E88">
            <v>2</v>
          </cell>
          <cell r="F88">
            <v>0</v>
          </cell>
          <cell r="G88" t="str">
            <v>2790</v>
          </cell>
          <cell r="H88" t="str">
            <v>Cr</v>
          </cell>
          <cell r="I88" t="str">
            <v>Yes</v>
          </cell>
          <cell r="J88" t="str">
            <v>Never</v>
          </cell>
          <cell r="K88" t="str">
            <v>Amount Due to Related Companies</v>
          </cell>
        </row>
        <row r="89">
          <cell r="B89">
            <v>2780</v>
          </cell>
          <cell r="C89" t="str">
            <v>Suspense</v>
          </cell>
          <cell r="D89">
            <v>1</v>
          </cell>
          <cell r="E89">
            <v>2</v>
          </cell>
          <cell r="F89">
            <v>0</v>
          </cell>
          <cell r="G89" t="str">
            <v>2790</v>
          </cell>
          <cell r="H89" t="str">
            <v>Cr</v>
          </cell>
          <cell r="I89" t="str">
            <v>Yes</v>
          </cell>
          <cell r="J89" t="str">
            <v>Never</v>
          </cell>
          <cell r="K89" t="str">
            <v>Accrued Expenses</v>
          </cell>
        </row>
        <row r="90">
          <cell r="B90">
            <v>2805</v>
          </cell>
          <cell r="C90" t="str">
            <v>Lease Liabilities</v>
          </cell>
          <cell r="D90">
            <v>1</v>
          </cell>
          <cell r="E90">
            <v>2</v>
          </cell>
          <cell r="F90">
            <v>0</v>
          </cell>
          <cell r="G90" t="str">
            <v>2790</v>
          </cell>
          <cell r="H90" t="str">
            <v>Cr</v>
          </cell>
          <cell r="I90" t="str">
            <v>Yes</v>
          </cell>
          <cell r="J90" t="str">
            <v>Never</v>
          </cell>
          <cell r="K90" t="str">
            <v>LT Lease Liabilities</v>
          </cell>
        </row>
        <row r="91">
          <cell r="B91">
            <v>2806</v>
          </cell>
          <cell r="C91" t="str">
            <v>ECL Provision</v>
          </cell>
          <cell r="D91">
            <v>1</v>
          </cell>
          <cell r="E91">
            <v>2</v>
          </cell>
          <cell r="F91">
            <v>0</v>
          </cell>
          <cell r="G91" t="str">
            <v>2790</v>
          </cell>
          <cell r="H91" t="str">
            <v>Cr</v>
          </cell>
          <cell r="I91" t="str">
            <v>Yes</v>
          </cell>
          <cell r="J91" t="str">
            <v>Never</v>
          </cell>
          <cell r="K91" t="str">
            <v>Account Receivables - Non-Retention</v>
          </cell>
        </row>
        <row r="92">
          <cell r="B92">
            <v>2807</v>
          </cell>
          <cell r="C92" t="str">
            <v>Make good provision</v>
          </cell>
          <cell r="D92">
            <v>1</v>
          </cell>
          <cell r="E92">
            <v>2</v>
          </cell>
          <cell r="F92">
            <v>0</v>
          </cell>
          <cell r="G92" t="str">
            <v>2790</v>
          </cell>
          <cell r="H92" t="str">
            <v>Cr</v>
          </cell>
          <cell r="I92" t="str">
            <v>Yes</v>
          </cell>
          <cell r="J92" t="str">
            <v>Never</v>
          </cell>
          <cell r="K92" t="str">
            <v>LT Lease Liabilities</v>
          </cell>
        </row>
        <row r="93">
          <cell r="B93">
            <v>2810</v>
          </cell>
          <cell r="C93" t="str">
            <v>Nicolson Family Trust</v>
          </cell>
          <cell r="D93">
            <v>1</v>
          </cell>
          <cell r="E93">
            <v>2</v>
          </cell>
          <cell r="F93">
            <v>0</v>
          </cell>
          <cell r="G93" t="str">
            <v>2990</v>
          </cell>
          <cell r="H93" t="str">
            <v>Cr</v>
          </cell>
          <cell r="I93" t="str">
            <v>Yes</v>
          </cell>
          <cell r="J93" t="str">
            <v>Never</v>
          </cell>
          <cell r="K93" t="str">
            <v>Vendor Earn-Out (Confirmed to be Paid)</v>
          </cell>
        </row>
        <row r="94">
          <cell r="B94">
            <v>2820</v>
          </cell>
          <cell r="C94" t="str">
            <v>Lowe Family Trust</v>
          </cell>
          <cell r="D94">
            <v>1</v>
          </cell>
          <cell r="E94">
            <v>2</v>
          </cell>
          <cell r="F94">
            <v>0</v>
          </cell>
          <cell r="G94" t="str">
            <v>2990</v>
          </cell>
          <cell r="H94" t="str">
            <v>Cr</v>
          </cell>
          <cell r="I94" t="str">
            <v>Yes</v>
          </cell>
          <cell r="J94" t="str">
            <v>Never</v>
          </cell>
          <cell r="K94" t="str">
            <v>Vendor Earn-Out (Confirmed to be Paid)</v>
          </cell>
        </row>
        <row r="95">
          <cell r="B95">
            <v>2830</v>
          </cell>
          <cell r="C95" t="str">
            <v>J &amp; E Florenca Family Trust</v>
          </cell>
          <cell r="D95">
            <v>1</v>
          </cell>
          <cell r="E95">
            <v>2</v>
          </cell>
          <cell r="F95">
            <v>0</v>
          </cell>
          <cell r="G95" t="str">
            <v>2990</v>
          </cell>
          <cell r="H95" t="str">
            <v>Cr</v>
          </cell>
          <cell r="I95" t="str">
            <v>Yes</v>
          </cell>
          <cell r="J95" t="str">
            <v>Never</v>
          </cell>
          <cell r="K95" t="str">
            <v>Vendor Earn-Out (Confirmed to be Paid)</v>
          </cell>
        </row>
        <row r="96">
          <cell r="B96">
            <v>2840</v>
          </cell>
          <cell r="C96" t="str">
            <v>DASH Enterprises Family Trust</v>
          </cell>
          <cell r="D96">
            <v>1</v>
          </cell>
          <cell r="E96">
            <v>2</v>
          </cell>
          <cell r="F96">
            <v>0</v>
          </cell>
          <cell r="G96" t="str">
            <v>2990</v>
          </cell>
          <cell r="H96" t="str">
            <v>Cr</v>
          </cell>
          <cell r="I96" t="str">
            <v>Yes</v>
          </cell>
          <cell r="J96" t="str">
            <v>Never</v>
          </cell>
          <cell r="K96" t="str">
            <v>Vendor Earn-Out (Confirmed to be Paid)</v>
          </cell>
        </row>
        <row r="97">
          <cell r="B97">
            <v>2890</v>
          </cell>
          <cell r="C97" t="str">
            <v>Director's Loans</v>
          </cell>
          <cell r="D97">
            <v>1</v>
          </cell>
          <cell r="E97">
            <v>2</v>
          </cell>
          <cell r="F97">
            <v>0</v>
          </cell>
          <cell r="G97" t="str">
            <v>2990</v>
          </cell>
          <cell r="H97" t="str">
            <v>Cr</v>
          </cell>
          <cell r="I97" t="str">
            <v>Yes</v>
          </cell>
          <cell r="J97" t="str">
            <v>Never</v>
          </cell>
          <cell r="K97" t="str">
            <v>Vendor Earn-Out (Confirmed to be Paid)</v>
          </cell>
        </row>
        <row r="98">
          <cell r="B98">
            <v>2900</v>
          </cell>
          <cell r="C98" t="str">
            <v>Omni Devlmts - Post 16/12/09</v>
          </cell>
          <cell r="D98">
            <v>1</v>
          </cell>
          <cell r="E98">
            <v>2</v>
          </cell>
          <cell r="F98">
            <v>0</v>
          </cell>
          <cell r="G98" t="str">
            <v>2990</v>
          </cell>
          <cell r="H98" t="str">
            <v>Cr</v>
          </cell>
          <cell r="I98" t="str">
            <v>Yes</v>
          </cell>
          <cell r="J98" t="str">
            <v>Never</v>
          </cell>
          <cell r="K98" t="str">
            <v>Amount Due to Related Companies</v>
          </cell>
        </row>
        <row r="99">
          <cell r="B99">
            <v>2905</v>
          </cell>
          <cell r="C99" t="str">
            <v>Omni Devlmts - Pre 16/12/09</v>
          </cell>
          <cell r="D99">
            <v>1</v>
          </cell>
          <cell r="E99">
            <v>2</v>
          </cell>
          <cell r="F99">
            <v>0</v>
          </cell>
          <cell r="G99" t="str">
            <v>2990</v>
          </cell>
          <cell r="H99" t="str">
            <v>Cr</v>
          </cell>
          <cell r="I99" t="str">
            <v>Yes</v>
          </cell>
          <cell r="J99" t="str">
            <v>Never</v>
          </cell>
          <cell r="K99" t="str">
            <v>Amount Due to Related Companies</v>
          </cell>
        </row>
        <row r="100">
          <cell r="B100">
            <v>2910</v>
          </cell>
          <cell r="C100" t="str">
            <v>Shares in Omnitronics, Inc</v>
          </cell>
          <cell r="D100">
            <v>1</v>
          </cell>
          <cell r="E100">
            <v>2</v>
          </cell>
          <cell r="F100">
            <v>0</v>
          </cell>
          <cell r="G100" t="str">
            <v>2990</v>
          </cell>
          <cell r="H100" t="str">
            <v>Cr</v>
          </cell>
          <cell r="I100" t="str">
            <v>Yes</v>
          </cell>
          <cell r="J100" t="str">
            <v>Never</v>
          </cell>
          <cell r="K100" t="str">
            <v>Ordinary Issued Share Capital</v>
          </cell>
        </row>
        <row r="101">
          <cell r="B101">
            <v>2920</v>
          </cell>
          <cell r="C101" t="str">
            <v>Loan - Omnitronics Developments 2015</v>
          </cell>
          <cell r="D101">
            <v>1</v>
          </cell>
          <cell r="E101">
            <v>2</v>
          </cell>
          <cell r="F101">
            <v>0</v>
          </cell>
          <cell r="G101" t="str">
            <v>2990</v>
          </cell>
          <cell r="H101" t="str">
            <v>Cr</v>
          </cell>
          <cell r="I101" t="str">
            <v>Yes</v>
          </cell>
          <cell r="J101" t="str">
            <v>Never</v>
          </cell>
          <cell r="K101" t="str">
            <v>Amount Due to Related Companies</v>
          </cell>
        </row>
        <row r="102">
          <cell r="B102">
            <v>2930</v>
          </cell>
          <cell r="C102" t="str">
            <v>Related Party Payable Bidco</v>
          </cell>
          <cell r="D102">
            <v>1</v>
          </cell>
          <cell r="E102">
            <v>2</v>
          </cell>
          <cell r="F102">
            <v>0</v>
          </cell>
          <cell r="G102" t="str">
            <v>2990</v>
          </cell>
          <cell r="H102" t="str">
            <v>Cr</v>
          </cell>
          <cell r="I102" t="str">
            <v>Yes</v>
          </cell>
          <cell r="J102" t="str">
            <v>Never</v>
          </cell>
          <cell r="K102" t="str">
            <v>Amount Due to Related Companies</v>
          </cell>
        </row>
        <row r="103">
          <cell r="B103">
            <v>2940</v>
          </cell>
          <cell r="C103" t="str">
            <v>Tax Funding Account</v>
          </cell>
          <cell r="E103">
            <v>2</v>
          </cell>
          <cell r="F103">
            <v>0</v>
          </cell>
          <cell r="G103" t="str">
            <v>2990</v>
          </cell>
          <cell r="H103" t="str">
            <v>Cr</v>
          </cell>
          <cell r="I103" t="str">
            <v>Yes</v>
          </cell>
          <cell r="J103" t="str">
            <v>Never</v>
          </cell>
          <cell r="K103" t="str">
            <v>Amount Due to Related Companies</v>
          </cell>
        </row>
        <row r="104">
          <cell r="B104">
            <v>2950</v>
          </cell>
          <cell r="C104" t="str">
            <v>Omnitronics Developments Pty Ltd</v>
          </cell>
          <cell r="D104">
            <v>1</v>
          </cell>
          <cell r="E104">
            <v>2</v>
          </cell>
          <cell r="F104">
            <v>0</v>
          </cell>
          <cell r="G104" t="str">
            <v>2990</v>
          </cell>
          <cell r="H104" t="str">
            <v>Cr</v>
          </cell>
          <cell r="I104" t="str">
            <v>Yes</v>
          </cell>
          <cell r="J104" t="str">
            <v>Never</v>
          </cell>
          <cell r="K104" t="str">
            <v>Amount Due to Related Companies</v>
          </cell>
        </row>
        <row r="105">
          <cell r="B105">
            <v>3010</v>
          </cell>
          <cell r="C105" t="str">
            <v>Shareholders equity</v>
          </cell>
          <cell r="D105">
            <v>1</v>
          </cell>
          <cell r="E105">
            <v>2</v>
          </cell>
          <cell r="F105">
            <v>0</v>
          </cell>
          <cell r="G105" t="str">
            <v>3090</v>
          </cell>
          <cell r="H105" t="str">
            <v>Cr</v>
          </cell>
          <cell r="I105" t="str">
            <v>Yes</v>
          </cell>
          <cell r="J105" t="str">
            <v>Never</v>
          </cell>
          <cell r="K105" t="str">
            <v>Ordinary Issued Share Capital</v>
          </cell>
        </row>
        <row r="106">
          <cell r="B106">
            <v>3015</v>
          </cell>
          <cell r="C106" t="str">
            <v>Dividend Declaration</v>
          </cell>
          <cell r="K106" t="str">
            <v>Retained Earnings</v>
          </cell>
        </row>
        <row r="107">
          <cell r="B107">
            <v>3013</v>
          </cell>
          <cell r="C107" t="str">
            <v>Pre-acquisition asset revaluation reserve</v>
          </cell>
          <cell r="D107">
            <v>1</v>
          </cell>
          <cell r="E107">
            <v>2</v>
          </cell>
          <cell r="F107">
            <v>0</v>
          </cell>
          <cell r="G107" t="str">
            <v>3090</v>
          </cell>
          <cell r="H107" t="str">
            <v>Cr</v>
          </cell>
          <cell r="I107" t="str">
            <v>Yes</v>
          </cell>
          <cell r="J107" t="str">
            <v>Never</v>
          </cell>
          <cell r="K107" t="str">
            <v>Pre-acquisition asset revaluation reserve</v>
          </cell>
        </row>
        <row r="108">
          <cell r="B108">
            <v>3020</v>
          </cell>
          <cell r="K108" t="str">
            <v>Retained Earnings</v>
          </cell>
        </row>
        <row r="109">
          <cell r="B109">
            <v>3030</v>
          </cell>
          <cell r="C109" t="str">
            <v>Retained Earnings (prior year)</v>
          </cell>
          <cell r="K109" t="str">
            <v>Retained Earnings</v>
          </cell>
        </row>
        <row r="111">
          <cell r="B111">
            <v>4000</v>
          </cell>
          <cell r="C111" t="str">
            <v>Sales</v>
          </cell>
          <cell r="D111">
            <v>1</v>
          </cell>
          <cell r="E111">
            <v>1</v>
          </cell>
          <cell r="F111">
            <v>0</v>
          </cell>
          <cell r="G111" t="str">
            <v>4900</v>
          </cell>
          <cell r="H111" t="str">
            <v>Cr</v>
          </cell>
          <cell r="I111" t="str">
            <v>Yes</v>
          </cell>
          <cell r="J111" t="str">
            <v>Never</v>
          </cell>
          <cell r="K111" t="str">
            <v>Hardware sales</v>
          </cell>
        </row>
        <row r="112">
          <cell r="B112">
            <v>4100</v>
          </cell>
          <cell r="C112" t="str">
            <v>Sales - Engineering Services</v>
          </cell>
          <cell r="D112">
            <v>1</v>
          </cell>
          <cell r="E112">
            <v>1</v>
          </cell>
          <cell r="F112">
            <v>0</v>
          </cell>
          <cell r="G112" t="str">
            <v>4900</v>
          </cell>
          <cell r="H112" t="str">
            <v>Cr</v>
          </cell>
          <cell r="I112" t="str">
            <v>Yes</v>
          </cell>
          <cell r="J112" t="str">
            <v>Never</v>
          </cell>
          <cell r="K112" t="str">
            <v>Engineering services</v>
          </cell>
        </row>
        <row r="113">
          <cell r="B113">
            <v>4110</v>
          </cell>
          <cell r="C113" t="str">
            <v>Sales-Development</v>
          </cell>
          <cell r="D113">
            <v>1</v>
          </cell>
          <cell r="E113">
            <v>1</v>
          </cell>
          <cell r="F113">
            <v>0</v>
          </cell>
          <cell r="G113" t="str">
            <v>4900</v>
          </cell>
          <cell r="H113" t="str">
            <v>Cr</v>
          </cell>
          <cell r="I113" t="str">
            <v>Yes</v>
          </cell>
          <cell r="J113" t="str">
            <v>Never</v>
          </cell>
          <cell r="K113" t="str">
            <v>Engineering services</v>
          </cell>
        </row>
        <row r="114">
          <cell r="B114">
            <v>4010</v>
          </cell>
          <cell r="C114" t="str">
            <v>Turnkey Components Onsold</v>
          </cell>
          <cell r="D114">
            <v>1</v>
          </cell>
          <cell r="E114">
            <v>1</v>
          </cell>
          <cell r="F114">
            <v>0</v>
          </cell>
          <cell r="G114" t="str">
            <v>4900</v>
          </cell>
          <cell r="H114" t="str">
            <v>Cr</v>
          </cell>
          <cell r="I114" t="str">
            <v>Yes</v>
          </cell>
          <cell r="J114" t="str">
            <v>Never</v>
          </cell>
          <cell r="K114" t="str">
            <v>Hardware sales</v>
          </cell>
        </row>
        <row r="115">
          <cell r="B115">
            <v>4018</v>
          </cell>
          <cell r="C115" t="str">
            <v>Sales - Third Party Products</v>
          </cell>
          <cell r="D115">
            <v>1</v>
          </cell>
          <cell r="E115">
            <v>1</v>
          </cell>
          <cell r="F115">
            <v>0</v>
          </cell>
          <cell r="G115" t="str">
            <v>4900</v>
          </cell>
          <cell r="H115" t="str">
            <v>Cr</v>
          </cell>
          <cell r="I115" t="str">
            <v>Yes</v>
          </cell>
          <cell r="J115" t="str">
            <v>Never</v>
          </cell>
          <cell r="K115" t="str">
            <v>Third Party Sales</v>
          </cell>
        </row>
        <row r="116">
          <cell r="B116">
            <v>4200</v>
          </cell>
          <cell r="C116" t="str">
            <v>Sales - Demo</v>
          </cell>
          <cell r="D116">
            <v>1</v>
          </cell>
          <cell r="E116">
            <v>1</v>
          </cell>
          <cell r="F116">
            <v>0</v>
          </cell>
          <cell r="G116" t="str">
            <v>4900</v>
          </cell>
          <cell r="H116" t="str">
            <v>Cr</v>
          </cell>
          <cell r="I116" t="str">
            <v>Yes</v>
          </cell>
          <cell r="J116" t="str">
            <v>Never</v>
          </cell>
          <cell r="K116" t="str">
            <v>Hardware sales</v>
          </cell>
        </row>
        <row r="117">
          <cell r="B117">
            <v>4300</v>
          </cell>
          <cell r="C117" t="str">
            <v>Sales - RMA</v>
          </cell>
          <cell r="D117">
            <v>1</v>
          </cell>
          <cell r="E117">
            <v>1</v>
          </cell>
          <cell r="F117">
            <v>0</v>
          </cell>
          <cell r="G117" t="str">
            <v>4900</v>
          </cell>
          <cell r="H117" t="str">
            <v>Cr</v>
          </cell>
          <cell r="I117" t="str">
            <v>Yes</v>
          </cell>
          <cell r="J117" t="str">
            <v>Never</v>
          </cell>
          <cell r="K117" t="str">
            <v>Maintenance services</v>
          </cell>
        </row>
        <row r="118">
          <cell r="B118">
            <v>4400</v>
          </cell>
          <cell r="C118" t="str">
            <v>Sales - Refurbished Stock</v>
          </cell>
          <cell r="D118">
            <v>1</v>
          </cell>
          <cell r="E118">
            <v>1</v>
          </cell>
          <cell r="F118">
            <v>0</v>
          </cell>
          <cell r="G118" t="str">
            <v>4900</v>
          </cell>
          <cell r="H118" t="str">
            <v>Cr</v>
          </cell>
          <cell r="I118" t="str">
            <v>Yes</v>
          </cell>
          <cell r="J118" t="str">
            <v>Never</v>
          </cell>
          <cell r="K118" t="str">
            <v>Hardware sales</v>
          </cell>
        </row>
        <row r="119">
          <cell r="B119">
            <v>4500</v>
          </cell>
          <cell r="C119" t="str">
            <v>Sales - SMAs</v>
          </cell>
          <cell r="D119">
            <v>1</v>
          </cell>
          <cell r="E119">
            <v>1</v>
          </cell>
          <cell r="F119">
            <v>0</v>
          </cell>
          <cell r="G119" t="str">
            <v>4900</v>
          </cell>
          <cell r="H119" t="str">
            <v>Cr</v>
          </cell>
          <cell r="I119" t="str">
            <v>Yes</v>
          </cell>
          <cell r="J119" t="str">
            <v>Never</v>
          </cell>
          <cell r="K119" t="str">
            <v>Maintenance services</v>
          </cell>
        </row>
        <row r="120">
          <cell r="B120">
            <v>4550</v>
          </cell>
          <cell r="C120" t="str">
            <v>Subscription Revenue</v>
          </cell>
          <cell r="D120">
            <v>1</v>
          </cell>
          <cell r="E120">
            <v>1</v>
          </cell>
          <cell r="F120">
            <v>0</v>
          </cell>
          <cell r="G120" t="str">
            <v>4900</v>
          </cell>
          <cell r="H120" t="str">
            <v>Cr</v>
          </cell>
          <cell r="I120" t="str">
            <v>Yes</v>
          </cell>
          <cell r="J120" t="str">
            <v>Never</v>
          </cell>
          <cell r="K120" t="str">
            <v>Maintenance services</v>
          </cell>
        </row>
        <row r="121">
          <cell r="B121">
            <v>4700</v>
          </cell>
          <cell r="C121" t="str">
            <v>Project Sales - Services</v>
          </cell>
          <cell r="D121">
            <v>1</v>
          </cell>
          <cell r="E121">
            <v>1</v>
          </cell>
          <cell r="F121">
            <v>0</v>
          </cell>
          <cell r="G121" t="str">
            <v>4900</v>
          </cell>
          <cell r="H121" t="str">
            <v>Cr</v>
          </cell>
          <cell r="I121" t="str">
            <v>Yes</v>
          </cell>
          <cell r="J121" t="str">
            <v>Never</v>
          </cell>
          <cell r="K121" t="str">
            <v>Engineering services</v>
          </cell>
        </row>
        <row r="122">
          <cell r="B122">
            <v>4705</v>
          </cell>
          <cell r="C122" t="str">
            <v>Project Sales - Hardware</v>
          </cell>
          <cell r="D122">
            <v>1</v>
          </cell>
          <cell r="E122">
            <v>1</v>
          </cell>
          <cell r="F122">
            <v>0</v>
          </cell>
          <cell r="G122" t="str">
            <v>4900</v>
          </cell>
          <cell r="H122" t="str">
            <v>Cr</v>
          </cell>
          <cell r="I122" t="str">
            <v>Yes</v>
          </cell>
          <cell r="J122" t="str">
            <v>Never</v>
          </cell>
          <cell r="K122" t="str">
            <v>Hardware sales</v>
          </cell>
        </row>
        <row r="123">
          <cell r="B123">
            <v>4760</v>
          </cell>
          <cell r="C123" t="str">
            <v>Software Licences</v>
          </cell>
          <cell r="D123">
            <v>1</v>
          </cell>
          <cell r="E123">
            <v>1</v>
          </cell>
          <cell r="F123">
            <v>0</v>
          </cell>
          <cell r="G123" t="str">
            <v>4900</v>
          </cell>
          <cell r="H123" t="str">
            <v>Cr</v>
          </cell>
          <cell r="I123" t="str">
            <v>Yes</v>
          </cell>
          <cell r="J123" t="str">
            <v>Never</v>
          </cell>
          <cell r="K123" t="str">
            <v>Software &amp; License fees</v>
          </cell>
        </row>
        <row r="124">
          <cell r="B124">
            <v>4770</v>
          </cell>
          <cell r="C124" t="str">
            <v>Other Licences</v>
          </cell>
          <cell r="D124">
            <v>1</v>
          </cell>
          <cell r="E124">
            <v>1</v>
          </cell>
          <cell r="F124">
            <v>0</v>
          </cell>
          <cell r="G124" t="str">
            <v>4900</v>
          </cell>
          <cell r="H124" t="str">
            <v>Cr</v>
          </cell>
          <cell r="I124" t="str">
            <v>Yes</v>
          </cell>
          <cell r="J124" t="str">
            <v>Never</v>
          </cell>
          <cell r="K124" t="str">
            <v>Software &amp; License fees</v>
          </cell>
        </row>
        <row r="125">
          <cell r="B125">
            <v>4600</v>
          </cell>
          <cell r="C125" t="str">
            <v>Sales - Seminars &amp; Onsite Training</v>
          </cell>
          <cell r="D125">
            <v>1</v>
          </cell>
          <cell r="E125">
            <v>1</v>
          </cell>
          <cell r="F125">
            <v>0</v>
          </cell>
          <cell r="G125" t="str">
            <v>4900</v>
          </cell>
          <cell r="H125" t="str">
            <v>Cr</v>
          </cell>
          <cell r="I125" t="str">
            <v>Yes</v>
          </cell>
          <cell r="J125" t="str">
            <v>Never</v>
          </cell>
          <cell r="K125" t="str">
            <v>Engineering services</v>
          </cell>
        </row>
        <row r="126">
          <cell r="B126">
            <v>4910</v>
          </cell>
          <cell r="C126" t="str">
            <v>Interest Received</v>
          </cell>
          <cell r="D126">
            <v>1</v>
          </cell>
          <cell r="E126">
            <v>1</v>
          </cell>
          <cell r="F126">
            <v>0</v>
          </cell>
          <cell r="G126" t="str">
            <v>4970</v>
          </cell>
          <cell r="H126" t="str">
            <v>Cr</v>
          </cell>
          <cell r="I126" t="str">
            <v>Yes</v>
          </cell>
          <cell r="J126" t="str">
            <v>Never</v>
          </cell>
          <cell r="K126" t="str">
            <v>Interest Income</v>
          </cell>
        </row>
        <row r="127">
          <cell r="B127">
            <v>4950</v>
          </cell>
          <cell r="C127" t="str">
            <v>Other Income</v>
          </cell>
          <cell r="D127">
            <v>1</v>
          </cell>
          <cell r="E127">
            <v>1</v>
          </cell>
          <cell r="F127">
            <v>0</v>
          </cell>
          <cell r="G127" t="str">
            <v>4970</v>
          </cell>
          <cell r="H127" t="str">
            <v>Cr</v>
          </cell>
          <cell r="I127" t="str">
            <v>Yes</v>
          </cell>
          <cell r="J127" t="str">
            <v>Never</v>
          </cell>
          <cell r="K127" t="str">
            <v>Other Revenue</v>
          </cell>
        </row>
        <row r="128">
          <cell r="B128">
            <v>4960</v>
          </cell>
          <cell r="C128" t="str">
            <v>R&amp;D Reimbursements</v>
          </cell>
          <cell r="D128">
            <v>1</v>
          </cell>
          <cell r="E128">
            <v>1</v>
          </cell>
          <cell r="F128">
            <v>0</v>
          </cell>
          <cell r="G128" t="str">
            <v>4970</v>
          </cell>
          <cell r="H128" t="str">
            <v>Cr</v>
          </cell>
          <cell r="I128" t="str">
            <v>Yes</v>
          </cell>
          <cell r="J128" t="str">
            <v>Never</v>
          </cell>
          <cell r="K128" t="str">
            <v>Others</v>
          </cell>
        </row>
        <row r="129">
          <cell r="B129">
            <v>5000</v>
          </cell>
          <cell r="C129" t="str">
            <v>Opening Stock - Stores</v>
          </cell>
          <cell r="D129">
            <v>1</v>
          </cell>
          <cell r="E129">
            <v>1</v>
          </cell>
          <cell r="F129">
            <v>0</v>
          </cell>
          <cell r="G129" t="str">
            <v>5025</v>
          </cell>
          <cell r="H129" t="str">
            <v>Dr</v>
          </cell>
          <cell r="I129" t="str">
            <v>Yes</v>
          </cell>
          <cell r="J129" t="str">
            <v>Never</v>
          </cell>
          <cell r="K129" t="str">
            <v>COGS - Direct Costs</v>
          </cell>
        </row>
        <row r="130">
          <cell r="B130">
            <v>5010</v>
          </cell>
          <cell r="C130" t="str">
            <v>Purchases - Stores</v>
          </cell>
          <cell r="D130">
            <v>1</v>
          </cell>
          <cell r="E130">
            <v>1</v>
          </cell>
          <cell r="F130">
            <v>0</v>
          </cell>
          <cell r="G130" t="str">
            <v>5025</v>
          </cell>
          <cell r="H130" t="str">
            <v>Dr</v>
          </cell>
          <cell r="I130" t="str">
            <v>Yes</v>
          </cell>
          <cell r="J130" t="str">
            <v>Never</v>
          </cell>
          <cell r="K130" t="str">
            <v>COGS - Direct Costs</v>
          </cell>
        </row>
        <row r="131">
          <cell r="B131">
            <v>5018</v>
          </cell>
          <cell r="C131" t="str">
            <v>Opening Stock - Third Party Products</v>
          </cell>
          <cell r="D131">
            <v>1</v>
          </cell>
          <cell r="E131">
            <v>1</v>
          </cell>
          <cell r="F131">
            <v>0</v>
          </cell>
          <cell r="G131" t="str">
            <v>5025</v>
          </cell>
          <cell r="H131" t="str">
            <v>Dr</v>
          </cell>
          <cell r="I131" t="str">
            <v>Yes</v>
          </cell>
          <cell r="J131" t="str">
            <v>Never</v>
          </cell>
          <cell r="K131" t="str">
            <v>COGS - Direct Costs</v>
          </cell>
        </row>
        <row r="132">
          <cell r="B132">
            <v>5019</v>
          </cell>
          <cell r="C132" t="str">
            <v>Purchases - Third Party Products</v>
          </cell>
          <cell r="D132">
            <v>1</v>
          </cell>
          <cell r="E132">
            <v>1</v>
          </cell>
          <cell r="F132">
            <v>0</v>
          </cell>
          <cell r="G132" t="str">
            <v>5025</v>
          </cell>
          <cell r="H132" t="str">
            <v>Dr</v>
          </cell>
          <cell r="I132" t="str">
            <v>Yes</v>
          </cell>
          <cell r="J132" t="str">
            <v>Never</v>
          </cell>
          <cell r="K132" t="str">
            <v>COGS - Direct Costs</v>
          </cell>
        </row>
        <row r="133">
          <cell r="B133">
            <v>5022</v>
          </cell>
          <cell r="C133" t="str">
            <v>Closing Stock - Third Party Products</v>
          </cell>
          <cell r="D133">
            <v>1</v>
          </cell>
          <cell r="E133">
            <v>1</v>
          </cell>
          <cell r="F133">
            <v>0</v>
          </cell>
          <cell r="G133" t="str">
            <v>5025</v>
          </cell>
          <cell r="H133" t="str">
            <v>Dr</v>
          </cell>
          <cell r="I133" t="str">
            <v>Yes</v>
          </cell>
          <cell r="J133" t="str">
            <v>Never</v>
          </cell>
          <cell r="K133" t="str">
            <v>COGS - Direct Costs</v>
          </cell>
        </row>
        <row r="134">
          <cell r="B134">
            <v>5020</v>
          </cell>
          <cell r="C134" t="str">
            <v>Closing Stock - Stores</v>
          </cell>
          <cell r="D134">
            <v>1</v>
          </cell>
          <cell r="E134">
            <v>1</v>
          </cell>
          <cell r="F134">
            <v>0</v>
          </cell>
          <cell r="G134" t="str">
            <v>5025</v>
          </cell>
          <cell r="H134" t="str">
            <v>Dr</v>
          </cell>
          <cell r="I134" t="str">
            <v>Yes</v>
          </cell>
          <cell r="J134" t="str">
            <v>Never</v>
          </cell>
          <cell r="K134" t="str">
            <v>COGS - Direct Costs</v>
          </cell>
        </row>
        <row r="135">
          <cell r="B135">
            <v>5028</v>
          </cell>
          <cell r="C135" t="str">
            <v>Opening Stock - REF</v>
          </cell>
          <cell r="D135">
            <v>1</v>
          </cell>
          <cell r="E135">
            <v>1</v>
          </cell>
          <cell r="F135">
            <v>0</v>
          </cell>
          <cell r="G135" t="str">
            <v>5035</v>
          </cell>
          <cell r="H135" t="str">
            <v>Dr</v>
          </cell>
          <cell r="I135" t="str">
            <v>Yes</v>
          </cell>
          <cell r="J135" t="str">
            <v>Never</v>
          </cell>
          <cell r="K135" t="str">
            <v>COGS - Direct Costs</v>
          </cell>
        </row>
        <row r="136">
          <cell r="B136">
            <v>5030</v>
          </cell>
          <cell r="C136" t="str">
            <v>Refurbished Stock purchases</v>
          </cell>
          <cell r="D136">
            <v>1</v>
          </cell>
          <cell r="E136">
            <v>1</v>
          </cell>
          <cell r="F136">
            <v>0</v>
          </cell>
          <cell r="G136" t="str">
            <v>5035</v>
          </cell>
          <cell r="H136" t="str">
            <v>Dr</v>
          </cell>
          <cell r="I136" t="str">
            <v>Yes</v>
          </cell>
          <cell r="J136" t="str">
            <v>Never</v>
          </cell>
          <cell r="K136" t="str">
            <v>COGS - Direct Costs</v>
          </cell>
        </row>
        <row r="137">
          <cell r="B137">
            <v>5032</v>
          </cell>
          <cell r="C137" t="str">
            <v>Closing Stock - REF</v>
          </cell>
          <cell r="D137">
            <v>1</v>
          </cell>
          <cell r="E137">
            <v>1</v>
          </cell>
          <cell r="F137">
            <v>0</v>
          </cell>
          <cell r="G137" t="str">
            <v>5035</v>
          </cell>
          <cell r="H137" t="str">
            <v>Dr</v>
          </cell>
          <cell r="I137" t="str">
            <v>Yes</v>
          </cell>
          <cell r="J137" t="str">
            <v>Never</v>
          </cell>
          <cell r="K137" t="str">
            <v>COGS - Direct Costs</v>
          </cell>
        </row>
        <row r="138">
          <cell r="B138">
            <v>5048</v>
          </cell>
          <cell r="C138" t="str">
            <v>Opening Stock - SER</v>
          </cell>
          <cell r="D138">
            <v>1</v>
          </cell>
          <cell r="E138">
            <v>1</v>
          </cell>
          <cell r="F138">
            <v>0</v>
          </cell>
          <cell r="G138" t="str">
            <v>5055</v>
          </cell>
          <cell r="H138" t="str">
            <v>Dr</v>
          </cell>
          <cell r="I138" t="str">
            <v>Yes</v>
          </cell>
          <cell r="J138" t="str">
            <v>Never</v>
          </cell>
          <cell r="K138" t="str">
            <v>COGS - Direct Costs</v>
          </cell>
        </row>
        <row r="139">
          <cell r="B139">
            <v>5050</v>
          </cell>
          <cell r="C139" t="str">
            <v>Service purchases</v>
          </cell>
          <cell r="D139">
            <v>1</v>
          </cell>
          <cell r="E139">
            <v>1</v>
          </cell>
          <cell r="F139">
            <v>0</v>
          </cell>
          <cell r="G139" t="str">
            <v>5055</v>
          </cell>
          <cell r="H139" t="str">
            <v>Dr</v>
          </cell>
          <cell r="I139" t="str">
            <v>Yes</v>
          </cell>
          <cell r="J139" t="str">
            <v>Never</v>
          </cell>
          <cell r="K139" t="str">
            <v>COGS - Direct Costs</v>
          </cell>
        </row>
        <row r="140">
          <cell r="B140">
            <v>5052</v>
          </cell>
          <cell r="C140" t="str">
            <v>Closing Stock - SER</v>
          </cell>
          <cell r="D140">
            <v>1</v>
          </cell>
          <cell r="E140">
            <v>1</v>
          </cell>
          <cell r="F140">
            <v>0</v>
          </cell>
          <cell r="G140" t="str">
            <v>5055</v>
          </cell>
          <cell r="H140" t="str">
            <v>Dr</v>
          </cell>
          <cell r="I140" t="str">
            <v>Yes</v>
          </cell>
          <cell r="J140" t="str">
            <v>Never</v>
          </cell>
          <cell r="K140" t="str">
            <v>COGS - Direct Costs</v>
          </cell>
        </row>
        <row r="141">
          <cell r="B141">
            <v>5068</v>
          </cell>
          <cell r="C141" t="str">
            <v>Opening Stock - ENG</v>
          </cell>
          <cell r="D141">
            <v>1</v>
          </cell>
          <cell r="E141">
            <v>1</v>
          </cell>
          <cell r="F141">
            <v>0</v>
          </cell>
          <cell r="G141" t="str">
            <v>5075</v>
          </cell>
          <cell r="H141" t="str">
            <v>Dr</v>
          </cell>
          <cell r="I141" t="str">
            <v>Yes</v>
          </cell>
          <cell r="J141" t="str">
            <v>Never</v>
          </cell>
          <cell r="K141" t="str">
            <v>COGS - Direct Costs</v>
          </cell>
        </row>
        <row r="142">
          <cell r="B142">
            <v>5070</v>
          </cell>
          <cell r="C142" t="str">
            <v>Purchases - ENG</v>
          </cell>
          <cell r="D142">
            <v>1</v>
          </cell>
          <cell r="E142">
            <v>1</v>
          </cell>
          <cell r="F142">
            <v>0</v>
          </cell>
          <cell r="G142" t="str">
            <v>5075</v>
          </cell>
          <cell r="H142" t="str">
            <v>Dr</v>
          </cell>
          <cell r="I142" t="str">
            <v>Yes</v>
          </cell>
          <cell r="J142" t="str">
            <v>Never</v>
          </cell>
          <cell r="K142" t="str">
            <v>COGS - Direct Costs</v>
          </cell>
        </row>
        <row r="143">
          <cell r="B143">
            <v>5072</v>
          </cell>
          <cell r="C143" t="str">
            <v>Closing Stock - ENG</v>
          </cell>
          <cell r="D143">
            <v>1</v>
          </cell>
          <cell r="E143">
            <v>1</v>
          </cell>
          <cell r="F143">
            <v>0</v>
          </cell>
          <cell r="G143" t="str">
            <v>5075</v>
          </cell>
          <cell r="H143" t="str">
            <v>Dr</v>
          </cell>
          <cell r="I143" t="str">
            <v>Yes</v>
          </cell>
          <cell r="J143" t="str">
            <v>Never</v>
          </cell>
          <cell r="K143" t="str">
            <v>COGS - Direct Costs</v>
          </cell>
        </row>
        <row r="144">
          <cell r="B144">
            <v>5100</v>
          </cell>
          <cell r="C144" t="str">
            <v>Opening Stock - SUB Manufacturing</v>
          </cell>
          <cell r="D144">
            <v>1</v>
          </cell>
          <cell r="E144">
            <v>1</v>
          </cell>
          <cell r="F144">
            <v>0</v>
          </cell>
          <cell r="G144" t="str">
            <v>5125</v>
          </cell>
          <cell r="H144" t="str">
            <v>Dr</v>
          </cell>
          <cell r="I144" t="str">
            <v>Yes</v>
          </cell>
          <cell r="J144" t="str">
            <v>Never</v>
          </cell>
          <cell r="K144" t="str">
            <v>COGS - Direct Costs</v>
          </cell>
        </row>
        <row r="145">
          <cell r="B145">
            <v>5110</v>
          </cell>
          <cell r="C145" t="str">
            <v>Purchases - Subcontractor Manufacturing</v>
          </cell>
          <cell r="D145">
            <v>1</v>
          </cell>
          <cell r="E145">
            <v>1</v>
          </cell>
          <cell r="F145">
            <v>0</v>
          </cell>
          <cell r="G145" t="str">
            <v>5125</v>
          </cell>
          <cell r="H145" t="str">
            <v>Dr</v>
          </cell>
          <cell r="I145" t="str">
            <v>Yes</v>
          </cell>
          <cell r="J145" t="str">
            <v>Never</v>
          </cell>
          <cell r="K145" t="str">
            <v>COGS - Direct Costs</v>
          </cell>
        </row>
        <row r="146">
          <cell r="B146">
            <v>5120</v>
          </cell>
          <cell r="C146" t="str">
            <v>Closing Stock - SUB Manufacturing</v>
          </cell>
          <cell r="D146">
            <v>1</v>
          </cell>
          <cell r="E146">
            <v>1</v>
          </cell>
          <cell r="F146">
            <v>0</v>
          </cell>
          <cell r="G146" t="str">
            <v>5125</v>
          </cell>
          <cell r="H146" t="str">
            <v>Dr</v>
          </cell>
          <cell r="I146" t="str">
            <v>Yes</v>
          </cell>
          <cell r="J146" t="str">
            <v>Never</v>
          </cell>
          <cell r="K146" t="str">
            <v>COGS - Direct Costs</v>
          </cell>
        </row>
        <row r="147">
          <cell r="B147">
            <v>5200</v>
          </cell>
          <cell r="C147" t="str">
            <v>Opening Stock - Demo</v>
          </cell>
          <cell r="D147">
            <v>1</v>
          </cell>
          <cell r="E147">
            <v>1</v>
          </cell>
          <cell r="F147">
            <v>0</v>
          </cell>
          <cell r="G147" t="str">
            <v>5225</v>
          </cell>
          <cell r="H147" t="str">
            <v>Dr</v>
          </cell>
          <cell r="I147" t="str">
            <v>Yes</v>
          </cell>
          <cell r="J147" t="str">
            <v>Never</v>
          </cell>
          <cell r="K147" t="str">
            <v>COGS - Direct Costs</v>
          </cell>
        </row>
        <row r="148">
          <cell r="B148">
            <v>5210</v>
          </cell>
          <cell r="C148" t="str">
            <v>Purchases - Demo</v>
          </cell>
          <cell r="D148">
            <v>1</v>
          </cell>
          <cell r="E148">
            <v>1</v>
          </cell>
          <cell r="F148">
            <v>0</v>
          </cell>
          <cell r="G148" t="str">
            <v>5225</v>
          </cell>
          <cell r="H148" t="str">
            <v>Dr</v>
          </cell>
          <cell r="I148" t="str">
            <v>Yes</v>
          </cell>
          <cell r="J148" t="str">
            <v>Never</v>
          </cell>
          <cell r="K148" t="str">
            <v>COGS - Direct Costs</v>
          </cell>
        </row>
        <row r="149">
          <cell r="B149">
            <v>5220</v>
          </cell>
          <cell r="C149" t="str">
            <v>Closing Stock - Demo</v>
          </cell>
          <cell r="D149">
            <v>1</v>
          </cell>
          <cell r="E149">
            <v>1</v>
          </cell>
          <cell r="F149">
            <v>0</v>
          </cell>
          <cell r="G149" t="str">
            <v>5225</v>
          </cell>
          <cell r="H149" t="str">
            <v>Dr</v>
          </cell>
          <cell r="I149" t="str">
            <v>Yes</v>
          </cell>
          <cell r="J149" t="str">
            <v>Never</v>
          </cell>
          <cell r="K149" t="str">
            <v>COGS - Direct Costs</v>
          </cell>
        </row>
        <row r="150">
          <cell r="B150">
            <v>5250</v>
          </cell>
          <cell r="C150" t="str">
            <v>Opening Stock - RMA</v>
          </cell>
          <cell r="D150">
            <v>1</v>
          </cell>
          <cell r="E150">
            <v>1</v>
          </cell>
          <cell r="F150">
            <v>0</v>
          </cell>
          <cell r="G150" t="str">
            <v>5275</v>
          </cell>
          <cell r="H150" t="str">
            <v>Dr</v>
          </cell>
          <cell r="I150" t="str">
            <v>Yes</v>
          </cell>
          <cell r="J150" t="str">
            <v>Never</v>
          </cell>
          <cell r="K150" t="str">
            <v>COGS - Direct Costs</v>
          </cell>
        </row>
        <row r="151">
          <cell r="B151">
            <v>5259</v>
          </cell>
          <cell r="C151" t="str">
            <v>Internal Labour - OLD</v>
          </cell>
          <cell r="D151">
            <v>1</v>
          </cell>
          <cell r="E151">
            <v>1</v>
          </cell>
          <cell r="F151">
            <v>0</v>
          </cell>
          <cell r="G151" t="str">
            <v>5400</v>
          </cell>
          <cell r="H151" t="str">
            <v>Dr</v>
          </cell>
          <cell r="I151" t="str">
            <v>Yes</v>
          </cell>
          <cell r="J151" t="str">
            <v>Never</v>
          </cell>
          <cell r="K151" t="str">
            <v>COGS - Direct Costs</v>
          </cell>
        </row>
        <row r="152">
          <cell r="B152">
            <v>5260</v>
          </cell>
          <cell r="C152" t="str">
            <v>Purchases - RMA</v>
          </cell>
          <cell r="D152">
            <v>1</v>
          </cell>
          <cell r="E152">
            <v>1</v>
          </cell>
          <cell r="F152">
            <v>0</v>
          </cell>
          <cell r="G152" t="str">
            <v>5275</v>
          </cell>
          <cell r="H152" t="str">
            <v>Dr</v>
          </cell>
          <cell r="I152" t="str">
            <v>Yes</v>
          </cell>
          <cell r="J152" t="str">
            <v>Never</v>
          </cell>
          <cell r="K152" t="str">
            <v>COGS - Direct Costs</v>
          </cell>
        </row>
        <row r="153">
          <cell r="B153">
            <v>5265</v>
          </cell>
          <cell r="C153" t="str">
            <v>Freight &amp; Customs on Sales</v>
          </cell>
          <cell r="D153">
            <v>1</v>
          </cell>
          <cell r="E153">
            <v>1</v>
          </cell>
          <cell r="F153">
            <v>0</v>
          </cell>
          <cell r="G153" t="str">
            <v>5400</v>
          </cell>
          <cell r="H153" t="str">
            <v>Dr</v>
          </cell>
          <cell r="I153" t="str">
            <v>Yes</v>
          </cell>
          <cell r="J153" t="str">
            <v>Never</v>
          </cell>
          <cell r="K153" t="str">
            <v>COGS - Other Costs</v>
          </cell>
        </row>
        <row r="154">
          <cell r="B154">
            <v>5266</v>
          </cell>
          <cell r="C154" t="str">
            <v>Freight Recovery</v>
          </cell>
          <cell r="D154">
            <v>1</v>
          </cell>
          <cell r="E154">
            <v>1</v>
          </cell>
          <cell r="F154">
            <v>0</v>
          </cell>
          <cell r="G154" t="str">
            <v>5400</v>
          </cell>
          <cell r="H154" t="str">
            <v>Dr</v>
          </cell>
          <cell r="I154" t="str">
            <v>Yes</v>
          </cell>
          <cell r="J154" t="str">
            <v>Never</v>
          </cell>
          <cell r="K154" t="str">
            <v>COGS - Other Costs</v>
          </cell>
        </row>
        <row r="155">
          <cell r="B155">
            <v>5267</v>
          </cell>
          <cell r="C155" t="str">
            <v>Freight to US (INC)</v>
          </cell>
          <cell r="D155">
            <v>1</v>
          </cell>
          <cell r="E155">
            <v>1</v>
          </cell>
          <cell r="F155">
            <v>0</v>
          </cell>
          <cell r="G155" t="str">
            <v>5400</v>
          </cell>
          <cell r="H155" t="str">
            <v>Dr</v>
          </cell>
          <cell r="I155" t="str">
            <v>Yes</v>
          </cell>
          <cell r="J155" t="str">
            <v>Never</v>
          </cell>
          <cell r="K155" t="str">
            <v>COGS - Other Costs</v>
          </cell>
        </row>
        <row r="156">
          <cell r="B156">
            <v>5460</v>
          </cell>
          <cell r="C156" t="str">
            <v>Warranty &amp; Replacements</v>
          </cell>
          <cell r="D156">
            <v>1</v>
          </cell>
          <cell r="E156">
            <v>1</v>
          </cell>
          <cell r="F156">
            <v>0</v>
          </cell>
          <cell r="G156" t="str">
            <v>5400</v>
          </cell>
          <cell r="H156" t="str">
            <v>Dr</v>
          </cell>
          <cell r="I156" t="str">
            <v>Yes</v>
          </cell>
          <cell r="J156" t="str">
            <v>Never</v>
          </cell>
          <cell r="K156" t="str">
            <v>COGS - Other Costs</v>
          </cell>
        </row>
        <row r="157">
          <cell r="B157">
            <v>5270</v>
          </cell>
          <cell r="C157" t="str">
            <v>Closing Stock - RMA</v>
          </cell>
          <cell r="D157">
            <v>1</v>
          </cell>
          <cell r="E157">
            <v>1</v>
          </cell>
          <cell r="F157">
            <v>0</v>
          </cell>
          <cell r="G157" t="str">
            <v>5275</v>
          </cell>
          <cell r="H157" t="str">
            <v>Dr</v>
          </cell>
          <cell r="I157" t="str">
            <v>Yes</v>
          </cell>
          <cell r="J157" t="str">
            <v>Never</v>
          </cell>
          <cell r="K157" t="str">
            <v>COGS - Direct Costs</v>
          </cell>
        </row>
        <row r="158">
          <cell r="B158">
            <v>5300</v>
          </cell>
          <cell r="C158" t="str">
            <v>Opening Stock - FCT</v>
          </cell>
          <cell r="D158">
            <v>1</v>
          </cell>
          <cell r="E158">
            <v>1</v>
          </cell>
          <cell r="F158">
            <v>0</v>
          </cell>
          <cell r="G158" t="str">
            <v>5325</v>
          </cell>
          <cell r="H158" t="str">
            <v>Dr</v>
          </cell>
          <cell r="I158" t="str">
            <v>Yes</v>
          </cell>
          <cell r="J158" t="str">
            <v>Never</v>
          </cell>
          <cell r="K158" t="str">
            <v>COGS - Direct Costs</v>
          </cell>
        </row>
        <row r="159">
          <cell r="B159">
            <v>5310</v>
          </cell>
          <cell r="C159" t="str">
            <v>Purchases - Manufacturing</v>
          </cell>
          <cell r="D159">
            <v>1</v>
          </cell>
          <cell r="E159">
            <v>1</v>
          </cell>
          <cell r="F159">
            <v>0</v>
          </cell>
          <cell r="G159" t="str">
            <v>5325</v>
          </cell>
          <cell r="H159" t="str">
            <v>Dr</v>
          </cell>
          <cell r="I159" t="str">
            <v>Yes</v>
          </cell>
          <cell r="J159" t="str">
            <v>Never</v>
          </cell>
          <cell r="K159" t="str">
            <v>COGS - Direct Costs</v>
          </cell>
        </row>
        <row r="160">
          <cell r="B160">
            <v>5320</v>
          </cell>
          <cell r="C160" t="str">
            <v>Closing Stock - FCT</v>
          </cell>
          <cell r="D160">
            <v>1</v>
          </cell>
          <cell r="E160">
            <v>1</v>
          </cell>
          <cell r="F160">
            <v>0</v>
          </cell>
          <cell r="G160" t="str">
            <v>5325</v>
          </cell>
          <cell r="H160" t="str">
            <v>Dr</v>
          </cell>
          <cell r="I160" t="str">
            <v>Yes</v>
          </cell>
          <cell r="J160" t="str">
            <v>Never</v>
          </cell>
          <cell r="K160" t="str">
            <v>COGS - Direct Costs</v>
          </cell>
        </row>
        <row r="161">
          <cell r="B161">
            <v>5410</v>
          </cell>
          <cell r="C161" t="str">
            <v>Subcontractors - OLD</v>
          </cell>
          <cell r="D161">
            <v>1</v>
          </cell>
          <cell r="E161">
            <v>1</v>
          </cell>
          <cell r="F161">
            <v>0</v>
          </cell>
          <cell r="G161" t="str">
            <v>5400</v>
          </cell>
          <cell r="H161" t="str">
            <v>Dr</v>
          </cell>
          <cell r="I161" t="str">
            <v>Yes</v>
          </cell>
          <cell r="J161" t="str">
            <v>Never</v>
          </cell>
          <cell r="K161" t="str">
            <v>COGS - Direct Costs</v>
          </cell>
        </row>
        <row r="162">
          <cell r="B162">
            <v>5424</v>
          </cell>
          <cell r="C162" t="str">
            <v>Consumables - Engineering</v>
          </cell>
          <cell r="D162">
            <v>1</v>
          </cell>
          <cell r="E162">
            <v>1</v>
          </cell>
          <cell r="F162">
            <v>0</v>
          </cell>
          <cell r="G162" t="str">
            <v>5400</v>
          </cell>
          <cell r="H162" t="str">
            <v>Dr</v>
          </cell>
          <cell r="I162" t="str">
            <v>Yes</v>
          </cell>
          <cell r="J162" t="str">
            <v>Never</v>
          </cell>
          <cell r="K162" t="str">
            <v>COGS - Other Costs</v>
          </cell>
        </row>
        <row r="163">
          <cell r="B163">
            <v>5425</v>
          </cell>
          <cell r="C163" t="str">
            <v>EMC Testing</v>
          </cell>
          <cell r="D163">
            <v>1</v>
          </cell>
          <cell r="E163">
            <v>1</v>
          </cell>
          <cell r="F163">
            <v>0</v>
          </cell>
          <cell r="G163" t="str">
            <v>5400</v>
          </cell>
          <cell r="H163" t="str">
            <v>Dr</v>
          </cell>
          <cell r="I163" t="str">
            <v>Yes</v>
          </cell>
          <cell r="J163" t="str">
            <v>Never</v>
          </cell>
          <cell r="K163" t="str">
            <v>COGS - Other Costs</v>
          </cell>
        </row>
        <row r="164">
          <cell r="B164">
            <v>5450</v>
          </cell>
          <cell r="C164" t="str">
            <v>Consumables - Production</v>
          </cell>
          <cell r="D164">
            <v>1</v>
          </cell>
          <cell r="E164">
            <v>1</v>
          </cell>
          <cell r="F164">
            <v>0</v>
          </cell>
          <cell r="G164" t="str">
            <v>5400</v>
          </cell>
          <cell r="H164" t="str">
            <v>Dr</v>
          </cell>
          <cell r="I164" t="str">
            <v>Yes</v>
          </cell>
          <cell r="J164" t="str">
            <v>Never</v>
          </cell>
          <cell r="K164" t="str">
            <v>COGS - Factory Overheads</v>
          </cell>
        </row>
        <row r="165">
          <cell r="B165">
            <v>5492</v>
          </cell>
          <cell r="C165" t="str">
            <v>Equipment for Demo/Loan</v>
          </cell>
          <cell r="D165">
            <v>1</v>
          </cell>
          <cell r="E165">
            <v>1</v>
          </cell>
          <cell r="F165">
            <v>0</v>
          </cell>
          <cell r="G165" t="str">
            <v>5400</v>
          </cell>
          <cell r="H165" t="str">
            <v>Dr</v>
          </cell>
          <cell r="I165" t="str">
            <v>Yes</v>
          </cell>
          <cell r="J165" t="str">
            <v>Never</v>
          </cell>
          <cell r="K165" t="str">
            <v>COGS - Factory Overheads</v>
          </cell>
        </row>
        <row r="166">
          <cell r="B166">
            <v>5455</v>
          </cell>
          <cell r="C166" t="str">
            <v>Product Testing &amp; Upgrades</v>
          </cell>
          <cell r="D166">
            <v>1</v>
          </cell>
          <cell r="E166">
            <v>1</v>
          </cell>
          <cell r="F166">
            <v>0</v>
          </cell>
          <cell r="G166" t="str">
            <v>5400</v>
          </cell>
          <cell r="H166" t="str">
            <v>Dr</v>
          </cell>
          <cell r="I166" t="str">
            <v>yes</v>
          </cell>
          <cell r="K166" t="str">
            <v>COGS - Factory Overheads</v>
          </cell>
        </row>
        <row r="167">
          <cell r="B167">
            <v>5470</v>
          </cell>
          <cell r="C167" t="str">
            <v>Stock Variances</v>
          </cell>
          <cell r="D167">
            <v>1</v>
          </cell>
          <cell r="E167">
            <v>1</v>
          </cell>
          <cell r="F167">
            <v>0</v>
          </cell>
          <cell r="G167" t="str">
            <v>5400</v>
          </cell>
          <cell r="H167" t="str">
            <v>Dr</v>
          </cell>
          <cell r="I167" t="str">
            <v>Yes</v>
          </cell>
          <cell r="J167" t="str">
            <v>Never</v>
          </cell>
          <cell r="K167" t="str">
            <v>COGS - Factory Overheads</v>
          </cell>
        </row>
        <row r="168">
          <cell r="B168">
            <v>5475</v>
          </cell>
          <cell r="C168" t="str">
            <v>Stock Disposal</v>
          </cell>
          <cell r="D168">
            <v>1</v>
          </cell>
          <cell r="E168">
            <v>1</v>
          </cell>
          <cell r="F168">
            <v>0</v>
          </cell>
          <cell r="G168" t="str">
            <v>5400</v>
          </cell>
          <cell r="H168" t="str">
            <v>Dr</v>
          </cell>
          <cell r="I168" t="str">
            <v>Yes</v>
          </cell>
          <cell r="J168" t="str">
            <v>Never</v>
          </cell>
          <cell r="K168" t="str">
            <v>COGS - Factory Overheads</v>
          </cell>
        </row>
        <row r="169">
          <cell r="B169">
            <v>5480</v>
          </cell>
          <cell r="C169" t="str">
            <v>Manufacturing Variances</v>
          </cell>
          <cell r="D169">
            <v>1</v>
          </cell>
          <cell r="E169">
            <v>1</v>
          </cell>
          <cell r="F169">
            <v>0</v>
          </cell>
          <cell r="G169" t="str">
            <v>5400</v>
          </cell>
          <cell r="H169" t="str">
            <v>Dr</v>
          </cell>
          <cell r="I169" t="str">
            <v>Yes</v>
          </cell>
          <cell r="J169" t="str">
            <v>Never</v>
          </cell>
          <cell r="K169" t="str">
            <v>COGS - Factory Overheads</v>
          </cell>
        </row>
        <row r="170">
          <cell r="B170">
            <v>5490</v>
          </cell>
          <cell r="C170" t="str">
            <v>R&amp;D Innovation &amp; Upgrades</v>
          </cell>
          <cell r="D170">
            <v>1</v>
          </cell>
          <cell r="E170">
            <v>1</v>
          </cell>
          <cell r="F170">
            <v>0</v>
          </cell>
          <cell r="G170" t="str">
            <v>5400</v>
          </cell>
          <cell r="H170" t="str">
            <v>Dr</v>
          </cell>
          <cell r="I170" t="str">
            <v>Yes</v>
          </cell>
          <cell r="J170" t="str">
            <v>Never</v>
          </cell>
          <cell r="K170" t="str">
            <v>COGS - Other Costs</v>
          </cell>
        </row>
        <row r="171">
          <cell r="B171">
            <v>5495</v>
          </cell>
          <cell r="C171" t="str">
            <v>Client Training - Projects</v>
          </cell>
          <cell r="D171">
            <v>1</v>
          </cell>
          <cell r="E171">
            <v>1</v>
          </cell>
          <cell r="F171">
            <v>0</v>
          </cell>
          <cell r="G171" t="str">
            <v>5400</v>
          </cell>
          <cell r="H171" t="str">
            <v>Dr</v>
          </cell>
          <cell r="I171" t="str">
            <v>Yes</v>
          </cell>
          <cell r="J171" t="str">
            <v>Never</v>
          </cell>
          <cell r="K171" t="str">
            <v>COGS - Other Costs</v>
          </cell>
        </row>
        <row r="172">
          <cell r="B172">
            <v>5551</v>
          </cell>
          <cell r="C172" t="str">
            <v>Production Labour Recovery</v>
          </cell>
          <cell r="D172">
            <v>1</v>
          </cell>
          <cell r="E172">
            <v>2</v>
          </cell>
          <cell r="F172">
            <v>0</v>
          </cell>
          <cell r="G172" t="str">
            <v>5930</v>
          </cell>
          <cell r="H172" t="str">
            <v>Dr</v>
          </cell>
          <cell r="I172" t="str">
            <v>Yes</v>
          </cell>
          <cell r="J172" t="str">
            <v>Never</v>
          </cell>
          <cell r="K172" t="str">
            <v>COGS - Factory Overheads</v>
          </cell>
        </row>
        <row r="173">
          <cell r="B173">
            <v>5810</v>
          </cell>
          <cell r="C173" t="str">
            <v>Opening WIP - Projects</v>
          </cell>
          <cell r="D173">
            <v>1</v>
          </cell>
          <cell r="E173">
            <v>1</v>
          </cell>
          <cell r="F173">
            <v>0</v>
          </cell>
          <cell r="G173" t="str">
            <v>5818</v>
          </cell>
          <cell r="H173" t="str">
            <v>Dr</v>
          </cell>
          <cell r="I173" t="str">
            <v>Yes</v>
          </cell>
          <cell r="J173" t="str">
            <v>Never</v>
          </cell>
          <cell r="K173" t="str">
            <v>COGS - Direct Costs</v>
          </cell>
        </row>
        <row r="174">
          <cell r="B174">
            <v>5811</v>
          </cell>
          <cell r="C174" t="str">
            <v>Project Engineering Services</v>
          </cell>
          <cell r="D174">
            <v>1</v>
          </cell>
          <cell r="E174">
            <v>1</v>
          </cell>
          <cell r="F174">
            <v>0</v>
          </cell>
          <cell r="G174" t="str">
            <v>5818</v>
          </cell>
          <cell r="H174" t="str">
            <v>Dr</v>
          </cell>
          <cell r="I174" t="str">
            <v>Yes</v>
          </cell>
          <cell r="J174" t="str">
            <v>Never</v>
          </cell>
          <cell r="K174" t="str">
            <v>COGS - Direct Costs</v>
          </cell>
        </row>
        <row r="175">
          <cell r="B175">
            <v>5812</v>
          </cell>
          <cell r="C175" t="str">
            <v>Support &amp; Maintenance Services</v>
          </cell>
          <cell r="D175">
            <v>1</v>
          </cell>
          <cell r="E175">
            <v>1</v>
          </cell>
          <cell r="F175">
            <v>0</v>
          </cell>
          <cell r="G175" t="str">
            <v>5818</v>
          </cell>
          <cell r="H175" t="str">
            <v>Dr</v>
          </cell>
          <cell r="I175" t="str">
            <v>Yes</v>
          </cell>
          <cell r="J175" t="str">
            <v>Never</v>
          </cell>
          <cell r="K175" t="str">
            <v>COGS - Direct Costs</v>
          </cell>
        </row>
        <row r="176">
          <cell r="B176">
            <v>5813</v>
          </cell>
          <cell r="C176" t="str">
            <v>Subcontractors - Engineering</v>
          </cell>
          <cell r="D176">
            <v>1</v>
          </cell>
          <cell r="E176">
            <v>1</v>
          </cell>
          <cell r="F176">
            <v>0</v>
          </cell>
          <cell r="G176" t="str">
            <v>5818</v>
          </cell>
          <cell r="H176" t="str">
            <v>Dr</v>
          </cell>
          <cell r="I176" t="str">
            <v>Yes</v>
          </cell>
          <cell r="J176" t="str">
            <v>Never</v>
          </cell>
          <cell r="K176" t="str">
            <v>COGS - Direct Costs</v>
          </cell>
        </row>
        <row r="177">
          <cell r="B177">
            <v>5814</v>
          </cell>
          <cell r="C177" t="str">
            <v>Client Development Services</v>
          </cell>
          <cell r="D177">
            <v>1</v>
          </cell>
          <cell r="E177">
            <v>1</v>
          </cell>
          <cell r="F177">
            <v>0</v>
          </cell>
          <cell r="G177" t="str">
            <v>5818</v>
          </cell>
          <cell r="H177" t="str">
            <v>Dr</v>
          </cell>
          <cell r="I177" t="str">
            <v>Yes</v>
          </cell>
          <cell r="J177" t="str">
            <v>Never</v>
          </cell>
          <cell r="K177" t="str">
            <v>COGS - Direct Costs</v>
          </cell>
        </row>
        <row r="178">
          <cell r="B178">
            <v>5816</v>
          </cell>
          <cell r="C178" t="str">
            <v>Project Costs</v>
          </cell>
          <cell r="D178">
            <v>1</v>
          </cell>
          <cell r="E178">
            <v>1</v>
          </cell>
          <cell r="F178">
            <v>0</v>
          </cell>
          <cell r="G178" t="str">
            <v>5818</v>
          </cell>
          <cell r="H178" t="str">
            <v>Dr</v>
          </cell>
          <cell r="I178" t="str">
            <v>Yes</v>
          </cell>
          <cell r="J178" t="str">
            <v>Never</v>
          </cell>
          <cell r="K178" t="str">
            <v>COGS - Direct Costs</v>
          </cell>
        </row>
        <row r="179">
          <cell r="B179">
            <v>5817</v>
          </cell>
          <cell r="C179" t="str">
            <v>Closing WIP -Projects</v>
          </cell>
          <cell r="D179">
            <v>1</v>
          </cell>
          <cell r="E179">
            <v>1</v>
          </cell>
          <cell r="F179">
            <v>0</v>
          </cell>
          <cell r="G179" t="str">
            <v>5818</v>
          </cell>
          <cell r="H179" t="str">
            <v>Dr</v>
          </cell>
          <cell r="I179" t="str">
            <v>Yes</v>
          </cell>
          <cell r="J179" t="str">
            <v>Never</v>
          </cell>
          <cell r="K179" t="str">
            <v>COGS - Direct Costs</v>
          </cell>
        </row>
        <row r="180">
          <cell r="B180">
            <v>5840</v>
          </cell>
          <cell r="C180" t="str">
            <v>Opening WIP - R&amp;D</v>
          </cell>
          <cell r="D180">
            <v>1</v>
          </cell>
          <cell r="E180">
            <v>1</v>
          </cell>
          <cell r="F180">
            <v>0</v>
          </cell>
          <cell r="G180" t="str">
            <v>5848</v>
          </cell>
          <cell r="H180" t="str">
            <v>Dr</v>
          </cell>
          <cell r="I180" t="str">
            <v>Yes</v>
          </cell>
          <cell r="J180" t="str">
            <v>Never</v>
          </cell>
          <cell r="K180" t="str">
            <v>COGS - Direct Costs</v>
          </cell>
        </row>
        <row r="181">
          <cell r="B181">
            <v>5841</v>
          </cell>
          <cell r="C181" t="str">
            <v>Internal Labour - R&amp;D</v>
          </cell>
          <cell r="D181">
            <v>1</v>
          </cell>
          <cell r="E181">
            <v>1</v>
          </cell>
          <cell r="F181">
            <v>0</v>
          </cell>
          <cell r="G181" t="str">
            <v>5848</v>
          </cell>
          <cell r="H181" t="str">
            <v>Dr</v>
          </cell>
          <cell r="I181" t="str">
            <v>Yes</v>
          </cell>
          <cell r="J181" t="str">
            <v>Never</v>
          </cell>
          <cell r="K181" t="str">
            <v>COGS - Direct Costs</v>
          </cell>
        </row>
        <row r="182">
          <cell r="B182">
            <v>5842</v>
          </cell>
          <cell r="C182" t="str">
            <v>Subcontractors - R&amp;D</v>
          </cell>
          <cell r="D182">
            <v>1</v>
          </cell>
          <cell r="E182">
            <v>1</v>
          </cell>
          <cell r="F182">
            <v>0</v>
          </cell>
          <cell r="G182" t="str">
            <v>5848</v>
          </cell>
          <cell r="H182" t="str">
            <v>Dr</v>
          </cell>
          <cell r="I182" t="str">
            <v>Yes</v>
          </cell>
          <cell r="J182" t="str">
            <v>Never</v>
          </cell>
          <cell r="K182" t="str">
            <v>COGS - Direct Costs</v>
          </cell>
        </row>
        <row r="183">
          <cell r="B183">
            <v>5844</v>
          </cell>
          <cell r="C183" t="str">
            <v>Purchases &amp; Overheads - R&amp;D</v>
          </cell>
          <cell r="D183">
            <v>1</v>
          </cell>
          <cell r="E183">
            <v>1</v>
          </cell>
          <cell r="F183">
            <v>0</v>
          </cell>
          <cell r="G183" t="str">
            <v>5848</v>
          </cell>
          <cell r="H183" t="str">
            <v>Dr</v>
          </cell>
          <cell r="I183" t="str">
            <v>Yes</v>
          </cell>
          <cell r="J183" t="str">
            <v>Never</v>
          </cell>
          <cell r="K183" t="str">
            <v>COGS - Direct Costs</v>
          </cell>
        </row>
        <row r="184">
          <cell r="B184">
            <v>5845</v>
          </cell>
          <cell r="C184" t="str">
            <v>Closing WIP -R&amp;D</v>
          </cell>
          <cell r="D184">
            <v>1</v>
          </cell>
          <cell r="E184">
            <v>1</v>
          </cell>
          <cell r="F184">
            <v>0</v>
          </cell>
          <cell r="G184" t="str">
            <v>5848</v>
          </cell>
          <cell r="H184" t="str">
            <v>Dr</v>
          </cell>
          <cell r="I184" t="str">
            <v>Yes</v>
          </cell>
          <cell r="J184" t="str">
            <v>Never</v>
          </cell>
          <cell r="K184" t="str">
            <v>COGS - Direct Costs</v>
          </cell>
        </row>
        <row r="185">
          <cell r="B185">
            <v>5850</v>
          </cell>
          <cell r="C185" t="str">
            <v>Opening WIP - RMA</v>
          </cell>
          <cell r="D185">
            <v>1</v>
          </cell>
          <cell r="E185">
            <v>1</v>
          </cell>
          <cell r="F185">
            <v>0</v>
          </cell>
          <cell r="G185" t="str">
            <v>5858</v>
          </cell>
          <cell r="H185" t="str">
            <v>Dr</v>
          </cell>
          <cell r="I185" t="str">
            <v>Yes</v>
          </cell>
          <cell r="J185" t="str">
            <v>Never</v>
          </cell>
          <cell r="K185" t="str">
            <v>COGS - Direct Costs</v>
          </cell>
        </row>
        <row r="186">
          <cell r="B186">
            <v>5851</v>
          </cell>
          <cell r="C186" t="str">
            <v>Internal Labour - RMA</v>
          </cell>
          <cell r="D186">
            <v>1</v>
          </cell>
          <cell r="E186">
            <v>1</v>
          </cell>
          <cell r="F186">
            <v>0</v>
          </cell>
          <cell r="G186" t="str">
            <v>5858</v>
          </cell>
          <cell r="H186" t="str">
            <v>Dr</v>
          </cell>
          <cell r="I186" t="str">
            <v>Yes</v>
          </cell>
          <cell r="J186" t="str">
            <v>Never</v>
          </cell>
          <cell r="K186" t="str">
            <v>COGS - Direct Costs</v>
          </cell>
        </row>
        <row r="187">
          <cell r="B187">
            <v>5852</v>
          </cell>
          <cell r="C187" t="str">
            <v>Subcontractors - RMA</v>
          </cell>
          <cell r="D187">
            <v>1</v>
          </cell>
          <cell r="E187">
            <v>1</v>
          </cell>
          <cell r="F187">
            <v>0</v>
          </cell>
          <cell r="G187" t="str">
            <v>5858</v>
          </cell>
          <cell r="H187" t="str">
            <v>Dr</v>
          </cell>
          <cell r="I187" t="str">
            <v>Yes</v>
          </cell>
          <cell r="J187" t="str">
            <v>Never</v>
          </cell>
          <cell r="K187" t="str">
            <v>COGS - Direct Costs</v>
          </cell>
        </row>
        <row r="188">
          <cell r="B188">
            <v>5853</v>
          </cell>
          <cell r="C188" t="str">
            <v>Project Materials - RMA</v>
          </cell>
          <cell r="D188">
            <v>1</v>
          </cell>
          <cell r="E188">
            <v>1</v>
          </cell>
          <cell r="F188">
            <v>0</v>
          </cell>
          <cell r="G188" t="str">
            <v>5858</v>
          </cell>
          <cell r="H188" t="str">
            <v>Dr</v>
          </cell>
          <cell r="I188" t="str">
            <v>Yes</v>
          </cell>
          <cell r="J188" t="str">
            <v>Never</v>
          </cell>
          <cell r="K188" t="str">
            <v>COGS - Direct Costs</v>
          </cell>
        </row>
        <row r="189">
          <cell r="B189">
            <v>5854</v>
          </cell>
          <cell r="C189" t="str">
            <v>Purchases &amp; Overheads - RMA</v>
          </cell>
          <cell r="D189">
            <v>1</v>
          </cell>
          <cell r="E189">
            <v>1</v>
          </cell>
          <cell r="F189">
            <v>0</v>
          </cell>
          <cell r="G189" t="str">
            <v>5858</v>
          </cell>
          <cell r="H189" t="str">
            <v>Dr</v>
          </cell>
          <cell r="I189" t="str">
            <v>Yes</v>
          </cell>
          <cell r="J189" t="str">
            <v>Never</v>
          </cell>
          <cell r="K189" t="str">
            <v>COGS - Direct Costs</v>
          </cell>
        </row>
        <row r="190">
          <cell r="B190">
            <v>5855</v>
          </cell>
          <cell r="C190" t="str">
            <v>Closing WIP -RMA</v>
          </cell>
          <cell r="D190">
            <v>1</v>
          </cell>
          <cell r="E190">
            <v>1</v>
          </cell>
          <cell r="F190">
            <v>0</v>
          </cell>
          <cell r="G190" t="str">
            <v>5858</v>
          </cell>
          <cell r="H190" t="str">
            <v>Dr</v>
          </cell>
          <cell r="I190" t="str">
            <v>Yes</v>
          </cell>
          <cell r="J190" t="str">
            <v>Never</v>
          </cell>
          <cell r="K190" t="str">
            <v>COGS - Direct Costs</v>
          </cell>
        </row>
        <row r="191">
          <cell r="B191">
            <v>6010</v>
          </cell>
          <cell r="C191" t="str">
            <v>Accounting Fees</v>
          </cell>
          <cell r="D191">
            <v>1</v>
          </cell>
          <cell r="E191">
            <v>2</v>
          </cell>
          <cell r="F191">
            <v>0</v>
          </cell>
          <cell r="G191" t="str">
            <v>6380</v>
          </cell>
          <cell r="H191" t="str">
            <v>Dr</v>
          </cell>
          <cell r="I191" t="str">
            <v>Yes</v>
          </cell>
          <cell r="J191" t="str">
            <v>Never</v>
          </cell>
          <cell r="K191" t="str">
            <v>Professional Services</v>
          </cell>
        </row>
        <row r="192">
          <cell r="B192">
            <v>6011</v>
          </cell>
          <cell r="C192" t="str">
            <v>Audit Fees</v>
          </cell>
          <cell r="D192">
            <v>1</v>
          </cell>
          <cell r="E192">
            <v>2</v>
          </cell>
          <cell r="F192">
            <v>0</v>
          </cell>
          <cell r="G192" t="str">
            <v>6380</v>
          </cell>
          <cell r="H192" t="str">
            <v>Dr</v>
          </cell>
          <cell r="I192" t="str">
            <v>Yes</v>
          </cell>
          <cell r="J192" t="str">
            <v>Never</v>
          </cell>
          <cell r="K192" t="str">
            <v>Professional Services</v>
          </cell>
        </row>
        <row r="193">
          <cell r="B193">
            <v>6020</v>
          </cell>
          <cell r="C193" t="str">
            <v>Bad Debts Written Off</v>
          </cell>
          <cell r="D193">
            <v>1</v>
          </cell>
          <cell r="E193">
            <v>2</v>
          </cell>
          <cell r="F193">
            <v>0</v>
          </cell>
          <cell r="G193" t="str">
            <v>6990</v>
          </cell>
          <cell r="H193" t="str">
            <v>Dr</v>
          </cell>
          <cell r="I193" t="str">
            <v>Yes</v>
          </cell>
          <cell r="J193" t="str">
            <v>Never</v>
          </cell>
          <cell r="K193" t="str">
            <v>General Administrative</v>
          </cell>
        </row>
        <row r="194">
          <cell r="B194">
            <v>6031</v>
          </cell>
          <cell r="C194" t="str">
            <v>Bank Fees</v>
          </cell>
          <cell r="D194">
            <v>1</v>
          </cell>
          <cell r="E194">
            <v>2</v>
          </cell>
          <cell r="F194">
            <v>0</v>
          </cell>
          <cell r="G194" t="str">
            <v>6030</v>
          </cell>
          <cell r="H194" t="str">
            <v>Dr</v>
          </cell>
          <cell r="I194" t="str">
            <v>Yes</v>
          </cell>
          <cell r="J194" t="str">
            <v>Never</v>
          </cell>
          <cell r="K194" t="str">
            <v>General Administrative</v>
          </cell>
        </row>
        <row r="195">
          <cell r="B195">
            <v>6032</v>
          </cell>
          <cell r="C195" t="str">
            <v>Merchant Fees</v>
          </cell>
          <cell r="D195">
            <v>1</v>
          </cell>
          <cell r="E195">
            <v>2</v>
          </cell>
          <cell r="F195">
            <v>0</v>
          </cell>
          <cell r="G195" t="str">
            <v>6030</v>
          </cell>
          <cell r="H195" t="str">
            <v>Dr</v>
          </cell>
          <cell r="I195" t="str">
            <v>Yes</v>
          </cell>
          <cell r="J195" t="str">
            <v>Never</v>
          </cell>
          <cell r="K195" t="str">
            <v>General Administrative</v>
          </cell>
        </row>
        <row r="196">
          <cell r="B196">
            <v>6033</v>
          </cell>
          <cell r="C196" t="str">
            <v>Interest Charges</v>
          </cell>
          <cell r="D196">
            <v>1</v>
          </cell>
          <cell r="E196">
            <v>2</v>
          </cell>
          <cell r="F196">
            <v>0</v>
          </cell>
          <cell r="G196" t="str">
            <v>6030</v>
          </cell>
          <cell r="H196" t="str">
            <v>Dr</v>
          </cell>
          <cell r="I196" t="str">
            <v>Yes</v>
          </cell>
          <cell r="J196" t="str">
            <v>Never</v>
          </cell>
          <cell r="K196" t="str">
            <v>Interest Expense - External Debt</v>
          </cell>
        </row>
        <row r="197">
          <cell r="B197">
            <v>6034</v>
          </cell>
          <cell r="C197" t="str">
            <v>Interest Expense - Lease Liabilities</v>
          </cell>
          <cell r="D197">
            <v>1</v>
          </cell>
          <cell r="E197">
            <v>2</v>
          </cell>
          <cell r="F197">
            <v>0</v>
          </cell>
          <cell r="G197" t="str">
            <v>6030</v>
          </cell>
          <cell r="H197" t="str">
            <v>Dr</v>
          </cell>
          <cell r="I197" t="str">
            <v>Yes</v>
          </cell>
          <cell r="J197" t="str">
            <v>Never</v>
          </cell>
          <cell r="K197" t="str">
            <v>Interest Expense - Lease Liabilities</v>
          </cell>
        </row>
        <row r="198">
          <cell r="B198">
            <v>6035</v>
          </cell>
          <cell r="C198" t="str">
            <v>Interest Expense - Related parties</v>
          </cell>
          <cell r="D198">
            <v>1</v>
          </cell>
          <cell r="E198">
            <v>2</v>
          </cell>
          <cell r="F198">
            <v>0</v>
          </cell>
          <cell r="G198" t="str">
            <v>6030</v>
          </cell>
          <cell r="H198" t="str">
            <v>Dr</v>
          </cell>
          <cell r="I198" t="str">
            <v>Yes</v>
          </cell>
          <cell r="J198" t="str">
            <v>Never</v>
          </cell>
          <cell r="K198" t="str">
            <v>Interest Expense - SH Loan</v>
          </cell>
        </row>
        <row r="199">
          <cell r="B199">
            <v>6042</v>
          </cell>
          <cell r="C199" t="str">
            <v>Client Gifts</v>
          </cell>
          <cell r="D199">
            <v>1</v>
          </cell>
          <cell r="E199">
            <v>2</v>
          </cell>
          <cell r="F199">
            <v>0</v>
          </cell>
          <cell r="G199" t="str">
            <v>6049</v>
          </cell>
          <cell r="H199" t="str">
            <v>Dr</v>
          </cell>
          <cell r="I199" t="str">
            <v>Yes</v>
          </cell>
          <cell r="J199" t="str">
            <v>Never</v>
          </cell>
          <cell r="K199" t="str">
            <v>Advertising &amp; Promotion</v>
          </cell>
        </row>
        <row r="200">
          <cell r="B200">
            <v>6043</v>
          </cell>
          <cell r="C200" t="str">
            <v>Conferences</v>
          </cell>
          <cell r="D200">
            <v>1</v>
          </cell>
          <cell r="E200">
            <v>2</v>
          </cell>
          <cell r="F200">
            <v>0</v>
          </cell>
          <cell r="G200" t="str">
            <v>6049</v>
          </cell>
          <cell r="H200" t="str">
            <v>Dr</v>
          </cell>
          <cell r="I200" t="str">
            <v>Yes</v>
          </cell>
          <cell r="J200" t="str">
            <v>Never</v>
          </cell>
          <cell r="K200" t="str">
            <v>Advertising &amp; Promotion</v>
          </cell>
        </row>
        <row r="201">
          <cell r="B201">
            <v>6044</v>
          </cell>
          <cell r="C201" t="str">
            <v>Room/Equipment Hire</v>
          </cell>
          <cell r="D201">
            <v>1</v>
          </cell>
          <cell r="E201">
            <v>2</v>
          </cell>
          <cell r="F201">
            <v>0</v>
          </cell>
          <cell r="G201" t="str">
            <v>6049</v>
          </cell>
          <cell r="H201" t="str">
            <v>Dr</v>
          </cell>
          <cell r="I201" t="str">
            <v>Yes</v>
          </cell>
          <cell r="J201" t="str">
            <v>Never</v>
          </cell>
          <cell r="K201" t="str">
            <v>General Administrative</v>
          </cell>
        </row>
        <row r="202">
          <cell r="B202">
            <v>6047</v>
          </cell>
          <cell r="C202" t="str">
            <v>Entertainment Client</v>
          </cell>
          <cell r="D202">
            <v>1</v>
          </cell>
          <cell r="E202">
            <v>2</v>
          </cell>
          <cell r="F202">
            <v>0</v>
          </cell>
          <cell r="G202" t="str">
            <v>6049</v>
          </cell>
          <cell r="H202" t="str">
            <v>Dr</v>
          </cell>
          <cell r="I202" t="str">
            <v>Yes</v>
          </cell>
          <cell r="J202" t="str">
            <v>Never</v>
          </cell>
          <cell r="K202" t="str">
            <v>Advertising &amp; Promotion</v>
          </cell>
        </row>
        <row r="203">
          <cell r="B203">
            <v>6048</v>
          </cell>
          <cell r="C203" t="str">
            <v>Entertainment Staff</v>
          </cell>
          <cell r="D203">
            <v>1</v>
          </cell>
          <cell r="E203">
            <v>2</v>
          </cell>
          <cell r="F203">
            <v>0</v>
          </cell>
          <cell r="G203" t="str">
            <v>6049</v>
          </cell>
          <cell r="H203" t="str">
            <v>Dr</v>
          </cell>
          <cell r="I203" t="str">
            <v>Yes</v>
          </cell>
          <cell r="J203" t="str">
            <v>Never</v>
          </cell>
          <cell r="K203" t="str">
            <v>General Administrative</v>
          </cell>
        </row>
        <row r="204">
          <cell r="B204">
            <v>6110</v>
          </cell>
          <cell r="C204" t="str">
            <v>Mobile Phones</v>
          </cell>
          <cell r="D204">
            <v>1</v>
          </cell>
          <cell r="E204">
            <v>2</v>
          </cell>
          <cell r="F204">
            <v>0</v>
          </cell>
          <cell r="G204" t="str">
            <v>6600</v>
          </cell>
          <cell r="H204" t="str">
            <v>Dr</v>
          </cell>
          <cell r="I204" t="str">
            <v>Yes</v>
          </cell>
          <cell r="J204" t="str">
            <v>Never</v>
          </cell>
          <cell r="K204" t="str">
            <v>Utilities</v>
          </cell>
        </row>
        <row r="205">
          <cell r="B205">
            <v>6121</v>
          </cell>
          <cell r="C205" t="str">
            <v>Office Phone WA</v>
          </cell>
          <cell r="D205">
            <v>1</v>
          </cell>
          <cell r="E205">
            <v>1</v>
          </cell>
          <cell r="F205">
            <v>0</v>
          </cell>
          <cell r="G205" t="str">
            <v>6613</v>
          </cell>
          <cell r="H205" t="str">
            <v>Dr</v>
          </cell>
          <cell r="I205" t="str">
            <v>Yes</v>
          </cell>
          <cell r="J205" t="str">
            <v>Never</v>
          </cell>
          <cell r="K205" t="str">
            <v>Utilities</v>
          </cell>
        </row>
        <row r="206">
          <cell r="B206">
            <v>6122</v>
          </cell>
          <cell r="C206" t="str">
            <v>Office Phone QLD</v>
          </cell>
          <cell r="D206">
            <v>1</v>
          </cell>
          <cell r="E206">
            <v>1</v>
          </cell>
          <cell r="F206">
            <v>0</v>
          </cell>
          <cell r="G206" t="str">
            <v>6623</v>
          </cell>
          <cell r="H206" t="str">
            <v>Dr</v>
          </cell>
          <cell r="I206" t="str">
            <v>Yes</v>
          </cell>
          <cell r="J206" t="str">
            <v>Never</v>
          </cell>
          <cell r="K206" t="str">
            <v>Utilities</v>
          </cell>
        </row>
        <row r="207">
          <cell r="B207">
            <v>6131</v>
          </cell>
          <cell r="C207" t="str">
            <v>Internet WA</v>
          </cell>
          <cell r="D207">
            <v>1</v>
          </cell>
          <cell r="E207">
            <v>1</v>
          </cell>
          <cell r="F207">
            <v>0</v>
          </cell>
          <cell r="G207" t="str">
            <v>6613</v>
          </cell>
          <cell r="H207" t="str">
            <v>Dr</v>
          </cell>
          <cell r="I207" t="str">
            <v>Yes</v>
          </cell>
          <cell r="J207" t="str">
            <v>Never</v>
          </cell>
          <cell r="K207" t="str">
            <v>Utilities</v>
          </cell>
        </row>
        <row r="208">
          <cell r="B208">
            <v>6132</v>
          </cell>
          <cell r="C208" t="str">
            <v>Internet QLD</v>
          </cell>
          <cell r="D208">
            <v>1</v>
          </cell>
          <cell r="E208">
            <v>1</v>
          </cell>
          <cell r="F208">
            <v>0</v>
          </cell>
          <cell r="G208" t="str">
            <v>6623</v>
          </cell>
          <cell r="H208" t="str">
            <v>Dr</v>
          </cell>
          <cell r="I208" t="str">
            <v>Yes</v>
          </cell>
          <cell r="J208" t="str">
            <v>Never</v>
          </cell>
          <cell r="K208" t="str">
            <v>Utilities</v>
          </cell>
        </row>
        <row r="209">
          <cell r="B209">
            <v>6150</v>
          </cell>
          <cell r="C209" t="str">
            <v>Consultancy</v>
          </cell>
          <cell r="D209">
            <v>1</v>
          </cell>
          <cell r="E209">
            <v>2</v>
          </cell>
          <cell r="F209">
            <v>0</v>
          </cell>
          <cell r="G209" t="str">
            <v>6380</v>
          </cell>
          <cell r="H209" t="str">
            <v>Dr</v>
          </cell>
          <cell r="I209" t="str">
            <v>Yes</v>
          </cell>
          <cell r="J209" t="str">
            <v>Never</v>
          </cell>
          <cell r="K209" t="str">
            <v>Professional Services</v>
          </cell>
        </row>
        <row r="210">
          <cell r="B210">
            <v>6200</v>
          </cell>
          <cell r="C210" t="str">
            <v>Depreciation</v>
          </cell>
          <cell r="D210">
            <v>1</v>
          </cell>
          <cell r="E210">
            <v>2</v>
          </cell>
          <cell r="F210">
            <v>0</v>
          </cell>
          <cell r="G210" t="str">
            <v>6990</v>
          </cell>
          <cell r="H210" t="str">
            <v>Dr</v>
          </cell>
          <cell r="I210" t="str">
            <v>Yes</v>
          </cell>
          <cell r="J210" t="str">
            <v>Never</v>
          </cell>
          <cell r="K210" t="str">
            <v>SGA - Depreciation</v>
          </cell>
        </row>
        <row r="211">
          <cell r="B211">
            <v>6201</v>
          </cell>
          <cell r="C211" t="str">
            <v>Depreciation - Loan Equipment</v>
          </cell>
          <cell r="D211">
            <v>1</v>
          </cell>
          <cell r="E211">
            <v>2</v>
          </cell>
          <cell r="F211">
            <v>0</v>
          </cell>
          <cell r="G211" t="str">
            <v>6990</v>
          </cell>
          <cell r="H211" t="str">
            <v>Dr</v>
          </cell>
          <cell r="I211" t="str">
            <v>Yes</v>
          </cell>
          <cell r="J211" t="str">
            <v>Never</v>
          </cell>
          <cell r="K211" t="str">
            <v>SGA - Depreciation</v>
          </cell>
        </row>
        <row r="212">
          <cell r="B212">
            <v>6203</v>
          </cell>
          <cell r="C212" t="str">
            <v>Software PPA amortisation expense</v>
          </cell>
          <cell r="D212">
            <v>1</v>
          </cell>
          <cell r="E212">
            <v>2</v>
          </cell>
          <cell r="F212">
            <v>0</v>
          </cell>
          <cell r="G212" t="str">
            <v>6990</v>
          </cell>
          <cell r="H212" t="str">
            <v>Dr</v>
          </cell>
          <cell r="I212" t="str">
            <v>Yes</v>
          </cell>
          <cell r="J212" t="str">
            <v>Never</v>
          </cell>
          <cell r="K212" t="str">
            <v>SGA - Depreciation</v>
          </cell>
        </row>
        <row r="213">
          <cell r="B213">
            <v>6204</v>
          </cell>
          <cell r="C213" t="str">
            <v>Customer relationship PPA amortisation expense</v>
          </cell>
          <cell r="D213">
            <v>1</v>
          </cell>
          <cell r="E213">
            <v>2</v>
          </cell>
          <cell r="F213">
            <v>0</v>
          </cell>
          <cell r="G213" t="str">
            <v>6990</v>
          </cell>
          <cell r="H213" t="str">
            <v>Dr</v>
          </cell>
          <cell r="I213" t="str">
            <v>Yes</v>
          </cell>
          <cell r="J213" t="str">
            <v>Never</v>
          </cell>
          <cell r="K213" t="str">
            <v>SGA - Depreciation</v>
          </cell>
        </row>
        <row r="214">
          <cell r="B214">
            <v>6205</v>
          </cell>
          <cell r="C214" t="str">
            <v>Intellectual property amortisation expense</v>
          </cell>
          <cell r="D214">
            <v>1</v>
          </cell>
          <cell r="E214">
            <v>2</v>
          </cell>
          <cell r="F214">
            <v>0</v>
          </cell>
          <cell r="G214" t="str">
            <v>6990</v>
          </cell>
          <cell r="H214" t="str">
            <v>Dr</v>
          </cell>
          <cell r="I214" t="str">
            <v>Yes</v>
          </cell>
          <cell r="J214" t="str">
            <v>Never</v>
          </cell>
          <cell r="K214" t="str">
            <v>SGA - Depreciation</v>
          </cell>
        </row>
        <row r="215">
          <cell r="B215">
            <v>6220</v>
          </cell>
          <cell r="C215" t="str">
            <v>Director's Fees</v>
          </cell>
          <cell r="D215">
            <v>1</v>
          </cell>
          <cell r="E215">
            <v>2</v>
          </cell>
          <cell r="F215">
            <v>0</v>
          </cell>
          <cell r="G215" t="str">
            <v>6380</v>
          </cell>
          <cell r="H215" t="str">
            <v>Dr</v>
          </cell>
          <cell r="I215" t="str">
            <v>Yes</v>
          </cell>
          <cell r="J215" t="str">
            <v>Never</v>
          </cell>
          <cell r="K215" t="str">
            <v>General Administrative</v>
          </cell>
        </row>
        <row r="216">
          <cell r="B216">
            <v>6230</v>
          </cell>
          <cell r="C216" t="str">
            <v>Donations</v>
          </cell>
          <cell r="D216">
            <v>1</v>
          </cell>
          <cell r="E216">
            <v>2</v>
          </cell>
          <cell r="F216">
            <v>0</v>
          </cell>
          <cell r="G216" t="str">
            <v>6600</v>
          </cell>
          <cell r="H216" t="str">
            <v>Dr</v>
          </cell>
          <cell r="I216" t="str">
            <v>Yes</v>
          </cell>
          <cell r="J216" t="str">
            <v>Never</v>
          </cell>
          <cell r="K216" t="str">
            <v>General Administrative</v>
          </cell>
        </row>
        <row r="217">
          <cell r="B217">
            <v>6250</v>
          </cell>
          <cell r="C217" t="str">
            <v>Depreciation - ROU assets</v>
          </cell>
          <cell r="D217">
            <v>1</v>
          </cell>
          <cell r="E217">
            <v>2</v>
          </cell>
          <cell r="F217">
            <v>0</v>
          </cell>
          <cell r="G217" t="str">
            <v>6600</v>
          </cell>
          <cell r="H217" t="str">
            <v>Dr</v>
          </cell>
          <cell r="I217" t="str">
            <v>Yes</v>
          </cell>
          <cell r="J217" t="str">
            <v>Never</v>
          </cell>
          <cell r="K217" t="str">
            <v>SGA - Depreciation for ROU Assets</v>
          </cell>
        </row>
        <row r="218">
          <cell r="B218">
            <v>6887</v>
          </cell>
          <cell r="C218" t="str">
            <v>Gain(Loss) on IFRS-16</v>
          </cell>
          <cell r="D218">
            <v>1</v>
          </cell>
          <cell r="E218">
            <v>2</v>
          </cell>
          <cell r="F218">
            <v>0</v>
          </cell>
          <cell r="G218" t="str">
            <v>6030</v>
          </cell>
          <cell r="H218" t="str">
            <v>Dr</v>
          </cell>
          <cell r="I218" t="str">
            <v>Yes</v>
          </cell>
          <cell r="J218" t="str">
            <v>Never</v>
          </cell>
          <cell r="K218" t="str">
            <v>Gain(Loss) on IFRS-16</v>
          </cell>
        </row>
        <row r="219">
          <cell r="B219">
            <v>6299</v>
          </cell>
          <cell r="C219" t="str">
            <v>Foreign Exchange Loss / Gain</v>
          </cell>
          <cell r="D219">
            <v>1</v>
          </cell>
          <cell r="E219">
            <v>2</v>
          </cell>
          <cell r="F219">
            <v>0</v>
          </cell>
          <cell r="G219" t="str">
            <v>6030</v>
          </cell>
          <cell r="H219" t="str">
            <v>Dr</v>
          </cell>
          <cell r="I219" t="str">
            <v>Yes</v>
          </cell>
          <cell r="J219" t="str">
            <v>Never</v>
          </cell>
          <cell r="K219" t="str">
            <v>Trade Forex Gain/(Losses)</v>
          </cell>
        </row>
        <row r="220">
          <cell r="B220">
            <v>6300</v>
          </cell>
          <cell r="C220" t="str">
            <v>Courier Expense</v>
          </cell>
          <cell r="D220">
            <v>1</v>
          </cell>
          <cell r="E220">
            <v>2</v>
          </cell>
          <cell r="F220">
            <v>0</v>
          </cell>
          <cell r="G220" t="str">
            <v>6600</v>
          </cell>
          <cell r="H220" t="str">
            <v>Dr</v>
          </cell>
          <cell r="I220" t="str">
            <v>Yes</v>
          </cell>
          <cell r="J220" t="str">
            <v>Never</v>
          </cell>
          <cell r="K220" t="str">
            <v>General Administrative</v>
          </cell>
        </row>
        <row r="221">
          <cell r="B221">
            <v>6310</v>
          </cell>
          <cell r="C221" t="str">
            <v>Software</v>
          </cell>
          <cell r="D221">
            <v>1</v>
          </cell>
          <cell r="E221">
            <v>2</v>
          </cell>
          <cell r="F221">
            <v>0</v>
          </cell>
          <cell r="G221" t="str">
            <v>6350</v>
          </cell>
          <cell r="H221" t="str">
            <v>Dr</v>
          </cell>
          <cell r="I221" t="str">
            <v>Yes</v>
          </cell>
          <cell r="J221" t="str">
            <v>Never</v>
          </cell>
          <cell r="K221" t="str">
            <v>General Administrative</v>
          </cell>
        </row>
        <row r="222">
          <cell r="B222">
            <v>6311</v>
          </cell>
          <cell r="C222" t="str">
            <v>Software-Finance</v>
          </cell>
          <cell r="D222">
            <v>1</v>
          </cell>
          <cell r="E222">
            <v>2</v>
          </cell>
          <cell r="F222">
            <v>0</v>
          </cell>
          <cell r="G222" t="str">
            <v>6350</v>
          </cell>
          <cell r="H222" t="str">
            <v>Dr</v>
          </cell>
          <cell r="I222" t="str">
            <v>Yes</v>
          </cell>
          <cell r="J222" t="str">
            <v>Never</v>
          </cell>
          <cell r="K222" t="str">
            <v>General Administrative</v>
          </cell>
        </row>
        <row r="223">
          <cell r="B223">
            <v>6344</v>
          </cell>
          <cell r="C223" t="str">
            <v>Software-IT Cyber Security</v>
          </cell>
          <cell r="D223">
            <v>1</v>
          </cell>
          <cell r="E223">
            <v>2</v>
          </cell>
          <cell r="F223">
            <v>0</v>
          </cell>
          <cell r="G223" t="str">
            <v>6350</v>
          </cell>
          <cell r="H223" t="str">
            <v>Dr</v>
          </cell>
          <cell r="I223" t="str">
            <v>Yes</v>
          </cell>
          <cell r="J223" t="str">
            <v>Never</v>
          </cell>
          <cell r="K223" t="str">
            <v>General Administrative</v>
          </cell>
        </row>
        <row r="224">
          <cell r="B224">
            <v>6315</v>
          </cell>
          <cell r="C224" t="str">
            <v>Motor Vehicle Insurance</v>
          </cell>
          <cell r="D224">
            <v>1</v>
          </cell>
          <cell r="E224">
            <v>2</v>
          </cell>
          <cell r="F224">
            <v>0</v>
          </cell>
          <cell r="G224" t="str">
            <v>6369</v>
          </cell>
          <cell r="H224" t="str">
            <v>Dr</v>
          </cell>
          <cell r="I224" t="str">
            <v>Yes</v>
          </cell>
          <cell r="J224" t="str">
            <v>Never</v>
          </cell>
          <cell r="K224" t="str">
            <v>General Administrative</v>
          </cell>
        </row>
        <row r="225">
          <cell r="B225">
            <v>6320</v>
          </cell>
          <cell r="C225" t="str">
            <v>IT Service &amp; Support</v>
          </cell>
          <cell r="D225">
            <v>1</v>
          </cell>
          <cell r="E225">
            <v>2</v>
          </cell>
          <cell r="F225">
            <v>0</v>
          </cell>
          <cell r="G225" t="str">
            <v>6350</v>
          </cell>
          <cell r="H225" t="str">
            <v>Dr</v>
          </cell>
          <cell r="I225" t="str">
            <v>Yes</v>
          </cell>
          <cell r="J225" t="str">
            <v>Never</v>
          </cell>
          <cell r="K225" t="str">
            <v>General Administrative</v>
          </cell>
        </row>
        <row r="226">
          <cell r="B226">
            <v>6322</v>
          </cell>
          <cell r="C226" t="str">
            <v>Internal IT Support &amp; Network Ad</v>
          </cell>
          <cell r="D226">
            <v>1</v>
          </cell>
          <cell r="E226">
            <v>2</v>
          </cell>
          <cell r="F226">
            <v>0</v>
          </cell>
          <cell r="G226" t="str">
            <v>6350</v>
          </cell>
          <cell r="H226" t="str">
            <v>Dr</v>
          </cell>
          <cell r="I226" t="str">
            <v>Yes</v>
          </cell>
          <cell r="J226" t="str">
            <v>Never</v>
          </cell>
          <cell r="K226" t="str">
            <v>General Administrative</v>
          </cell>
        </row>
        <row r="227">
          <cell r="B227">
            <v>6325</v>
          </cell>
          <cell r="C227" t="str">
            <v>Liability &amp; Cyber</v>
          </cell>
          <cell r="D227">
            <v>1</v>
          </cell>
          <cell r="E227">
            <v>2</v>
          </cell>
          <cell r="F227">
            <v>0</v>
          </cell>
          <cell r="G227" t="str">
            <v>6369</v>
          </cell>
          <cell r="H227" t="str">
            <v>Dr</v>
          </cell>
          <cell r="I227" t="str">
            <v>Yes</v>
          </cell>
          <cell r="J227" t="str">
            <v>Never</v>
          </cell>
          <cell r="K227" t="str">
            <v>General Administrative</v>
          </cell>
        </row>
        <row r="228">
          <cell r="B228">
            <v>6326</v>
          </cell>
          <cell r="C228" t="str">
            <v>Accident &amp; Health</v>
          </cell>
          <cell r="D228">
            <v>1</v>
          </cell>
          <cell r="E228">
            <v>2</v>
          </cell>
          <cell r="F228">
            <v>0</v>
          </cell>
          <cell r="G228" t="str">
            <v>6369</v>
          </cell>
          <cell r="H228" t="str">
            <v>Dr</v>
          </cell>
          <cell r="I228" t="str">
            <v>Yes</v>
          </cell>
          <cell r="J228" t="str">
            <v>Never</v>
          </cell>
          <cell r="K228" t="str">
            <v>General Administrative</v>
          </cell>
        </row>
        <row r="229">
          <cell r="B229">
            <v>6330</v>
          </cell>
          <cell r="C229" t="str">
            <v>Marine Transit</v>
          </cell>
          <cell r="D229">
            <v>1</v>
          </cell>
          <cell r="E229">
            <v>2</v>
          </cell>
          <cell r="F229">
            <v>0</v>
          </cell>
          <cell r="G229" t="str">
            <v>6369</v>
          </cell>
          <cell r="H229" t="str">
            <v>Dr</v>
          </cell>
          <cell r="I229" t="str">
            <v>Yes</v>
          </cell>
          <cell r="J229" t="str">
            <v>Never</v>
          </cell>
          <cell r="K229" t="str">
            <v>General Administrative</v>
          </cell>
        </row>
        <row r="230">
          <cell r="B230">
            <v>6340</v>
          </cell>
          <cell r="C230" t="str">
            <v>Online services &amp; Cloud Storage</v>
          </cell>
          <cell r="D230">
            <v>1</v>
          </cell>
          <cell r="E230">
            <v>2</v>
          </cell>
          <cell r="F230">
            <v>0</v>
          </cell>
          <cell r="G230" t="str">
            <v>6350</v>
          </cell>
          <cell r="H230" t="str">
            <v>Dr</v>
          </cell>
          <cell r="I230" t="str">
            <v>Yes</v>
          </cell>
          <cell r="J230" t="str">
            <v>Never</v>
          </cell>
          <cell r="K230" t="str">
            <v>General Administrative</v>
          </cell>
        </row>
        <row r="231">
          <cell r="B231">
            <v>6341</v>
          </cell>
          <cell r="C231" t="str">
            <v>Workers Comp WA</v>
          </cell>
          <cell r="D231">
            <v>1</v>
          </cell>
          <cell r="E231">
            <v>1</v>
          </cell>
          <cell r="F231">
            <v>0</v>
          </cell>
          <cell r="G231" t="str">
            <v>6343</v>
          </cell>
          <cell r="H231" t="str">
            <v>Dr</v>
          </cell>
          <cell r="I231" t="str">
            <v>Yes</v>
          </cell>
          <cell r="J231" t="str">
            <v>Never</v>
          </cell>
          <cell r="K231" t="str">
            <v>Staff Cost</v>
          </cell>
        </row>
        <row r="232">
          <cell r="B232">
            <v>6342</v>
          </cell>
          <cell r="C232" t="str">
            <v>Workers Comp QLD</v>
          </cell>
          <cell r="D232">
            <v>1</v>
          </cell>
          <cell r="E232">
            <v>1</v>
          </cell>
          <cell r="F232">
            <v>0</v>
          </cell>
          <cell r="G232" t="str">
            <v>6343</v>
          </cell>
          <cell r="H232" t="str">
            <v>Dr</v>
          </cell>
          <cell r="I232" t="str">
            <v>Yes</v>
          </cell>
          <cell r="J232" t="str">
            <v>Never</v>
          </cell>
          <cell r="K232" t="str">
            <v>Staff Cost</v>
          </cell>
        </row>
        <row r="233">
          <cell r="B233">
            <v>6351</v>
          </cell>
          <cell r="C233" t="str">
            <v>Business WA</v>
          </cell>
          <cell r="D233">
            <v>1</v>
          </cell>
          <cell r="E233">
            <v>1</v>
          </cell>
          <cell r="F233">
            <v>0</v>
          </cell>
          <cell r="G233" t="str">
            <v>6353</v>
          </cell>
          <cell r="H233" t="str">
            <v>Dr</v>
          </cell>
          <cell r="I233" t="str">
            <v>Yes</v>
          </cell>
          <cell r="J233" t="str">
            <v>Never</v>
          </cell>
          <cell r="K233" t="str">
            <v>General Administrative</v>
          </cell>
        </row>
        <row r="234">
          <cell r="B234">
            <v>6352</v>
          </cell>
          <cell r="C234" t="str">
            <v>Business QLD</v>
          </cell>
          <cell r="D234">
            <v>1</v>
          </cell>
          <cell r="E234">
            <v>1</v>
          </cell>
          <cell r="F234">
            <v>0</v>
          </cell>
          <cell r="G234" t="str">
            <v>6353</v>
          </cell>
          <cell r="H234" t="str">
            <v>Dr</v>
          </cell>
          <cell r="I234" t="str">
            <v>Yes</v>
          </cell>
          <cell r="J234" t="str">
            <v>Never</v>
          </cell>
          <cell r="K234" t="str">
            <v>General Administrative</v>
          </cell>
        </row>
        <row r="235">
          <cell r="B235">
            <v>6360</v>
          </cell>
          <cell r="C235" t="str">
            <v>Corporate Travel Insurance</v>
          </cell>
          <cell r="D235">
            <v>1</v>
          </cell>
          <cell r="E235">
            <v>2</v>
          </cell>
          <cell r="F235">
            <v>0</v>
          </cell>
          <cell r="G235" t="str">
            <v>6369</v>
          </cell>
          <cell r="H235" t="str">
            <v>Dr</v>
          </cell>
          <cell r="I235" t="str">
            <v>Yes</v>
          </cell>
          <cell r="J235" t="str">
            <v>Never</v>
          </cell>
          <cell r="K235" t="str">
            <v>General Administrative</v>
          </cell>
        </row>
        <row r="236">
          <cell r="B236">
            <v>6381</v>
          </cell>
          <cell r="C236" t="str">
            <v>Filing Fees/Permits</v>
          </cell>
          <cell r="D236">
            <v>1</v>
          </cell>
          <cell r="E236">
            <v>2</v>
          </cell>
          <cell r="F236">
            <v>0</v>
          </cell>
          <cell r="G236" t="str">
            <v>6380</v>
          </cell>
          <cell r="H236" t="str">
            <v>Dr</v>
          </cell>
          <cell r="I236" t="str">
            <v>Yes</v>
          </cell>
          <cell r="J236" t="str">
            <v>Never</v>
          </cell>
          <cell r="K236" t="str">
            <v>General Administrative</v>
          </cell>
        </row>
        <row r="237">
          <cell r="B237">
            <v>6382</v>
          </cell>
          <cell r="C237" t="str">
            <v>Legal Fees</v>
          </cell>
          <cell r="D237">
            <v>1</v>
          </cell>
          <cell r="E237">
            <v>2</v>
          </cell>
          <cell r="F237">
            <v>0</v>
          </cell>
          <cell r="G237" t="str">
            <v>6380</v>
          </cell>
          <cell r="H237" t="str">
            <v>Dr</v>
          </cell>
          <cell r="I237" t="str">
            <v>Yes</v>
          </cell>
          <cell r="J237" t="str">
            <v>Never</v>
          </cell>
          <cell r="K237" t="str">
            <v>Professional Services</v>
          </cell>
        </row>
        <row r="238">
          <cell r="B238">
            <v>6385</v>
          </cell>
          <cell r="C238" t="str">
            <v>OHS Medical &amp; Safety</v>
          </cell>
          <cell r="D238">
            <v>1</v>
          </cell>
          <cell r="E238">
            <v>2</v>
          </cell>
          <cell r="F238">
            <v>0</v>
          </cell>
          <cell r="G238" t="str">
            <v>6880</v>
          </cell>
          <cell r="H238" t="str">
            <v>Dr</v>
          </cell>
          <cell r="I238" t="str">
            <v>Yes</v>
          </cell>
          <cell r="J238" t="str">
            <v>Never</v>
          </cell>
          <cell r="K238" t="str">
            <v>Staff Cost</v>
          </cell>
        </row>
        <row r="239">
          <cell r="B239">
            <v>6400</v>
          </cell>
          <cell r="C239" t="str">
            <v>Sundry Expenses</v>
          </cell>
          <cell r="D239">
            <v>1</v>
          </cell>
          <cell r="E239">
            <v>2</v>
          </cell>
          <cell r="F239">
            <v>0</v>
          </cell>
          <cell r="G239" t="str">
            <v>6990</v>
          </cell>
          <cell r="H239" t="str">
            <v>Dr</v>
          </cell>
          <cell r="I239" t="str">
            <v>Yes</v>
          </cell>
          <cell r="J239" t="str">
            <v>Never</v>
          </cell>
          <cell r="K239" t="str">
            <v>General Administrative</v>
          </cell>
        </row>
        <row r="240">
          <cell r="B240">
            <v>6405</v>
          </cell>
          <cell r="C240" t="str">
            <v>Misc Marketing</v>
          </cell>
          <cell r="D240">
            <v>1</v>
          </cell>
          <cell r="E240">
            <v>2</v>
          </cell>
          <cell r="F240">
            <v>0</v>
          </cell>
          <cell r="G240" t="str">
            <v>6499</v>
          </cell>
          <cell r="H240" t="str">
            <v>Dr</v>
          </cell>
          <cell r="I240" t="str">
            <v>Yes</v>
          </cell>
          <cell r="J240" t="str">
            <v>Never</v>
          </cell>
          <cell r="K240" t="str">
            <v>Marketing &amp; Market Research</v>
          </cell>
        </row>
        <row r="241">
          <cell r="B241">
            <v>6410</v>
          </cell>
          <cell r="C241" t="str">
            <v>Digital Advertising</v>
          </cell>
          <cell r="D241">
            <v>1</v>
          </cell>
          <cell r="E241">
            <v>2</v>
          </cell>
          <cell r="F241">
            <v>0</v>
          </cell>
          <cell r="G241" t="str">
            <v>6499</v>
          </cell>
          <cell r="H241" t="str">
            <v>Dr</v>
          </cell>
          <cell r="I241" t="str">
            <v>Yes</v>
          </cell>
          <cell r="J241" t="str">
            <v>Never</v>
          </cell>
          <cell r="K241" t="str">
            <v>Marketing &amp; Market Research</v>
          </cell>
        </row>
        <row r="242">
          <cell r="B242">
            <v>6420</v>
          </cell>
          <cell r="C242" t="str">
            <v>Website</v>
          </cell>
          <cell r="D242">
            <v>1</v>
          </cell>
          <cell r="E242">
            <v>2</v>
          </cell>
          <cell r="F242">
            <v>0</v>
          </cell>
          <cell r="G242" t="str">
            <v>6499</v>
          </cell>
          <cell r="H242" t="str">
            <v>Dr</v>
          </cell>
          <cell r="I242" t="str">
            <v>Yes</v>
          </cell>
          <cell r="J242" t="str">
            <v>Never</v>
          </cell>
          <cell r="K242" t="str">
            <v>Marketing &amp; Market Research</v>
          </cell>
        </row>
        <row r="243">
          <cell r="B243">
            <v>6430</v>
          </cell>
          <cell r="C243" t="str">
            <v>Lead Generation</v>
          </cell>
          <cell r="D243">
            <v>1</v>
          </cell>
          <cell r="E243">
            <v>2</v>
          </cell>
          <cell r="F243">
            <v>0</v>
          </cell>
          <cell r="G243" t="str">
            <v>6499</v>
          </cell>
          <cell r="H243" t="str">
            <v>Dr</v>
          </cell>
          <cell r="I243" t="str">
            <v>Yes</v>
          </cell>
          <cell r="J243" t="str">
            <v>Never</v>
          </cell>
          <cell r="K243" t="str">
            <v>Marketing &amp; Market Research</v>
          </cell>
        </row>
        <row r="244">
          <cell r="B244">
            <v>6440</v>
          </cell>
          <cell r="C244" t="str">
            <v>Tradeshows &amp; Events</v>
          </cell>
          <cell r="D244">
            <v>1</v>
          </cell>
          <cell r="E244">
            <v>2</v>
          </cell>
          <cell r="F244">
            <v>0</v>
          </cell>
          <cell r="G244" t="str">
            <v>6499</v>
          </cell>
          <cell r="H244" t="str">
            <v>Dr</v>
          </cell>
          <cell r="I244" t="str">
            <v>Yes</v>
          </cell>
          <cell r="J244" t="str">
            <v>Never</v>
          </cell>
          <cell r="K244" t="str">
            <v>Marketing &amp; Market Research</v>
          </cell>
        </row>
        <row r="245">
          <cell r="B245">
            <v>6450</v>
          </cell>
          <cell r="C245" t="str">
            <v>Printing &amp; Merchandise</v>
          </cell>
          <cell r="D245">
            <v>1</v>
          </cell>
          <cell r="E245">
            <v>2</v>
          </cell>
          <cell r="F245">
            <v>0</v>
          </cell>
          <cell r="G245" t="str">
            <v>6499</v>
          </cell>
          <cell r="H245" t="str">
            <v>Dr</v>
          </cell>
          <cell r="I245" t="str">
            <v>Yes</v>
          </cell>
          <cell r="J245" t="str">
            <v>Never</v>
          </cell>
          <cell r="K245" t="str">
            <v>Marketing &amp; Market Research</v>
          </cell>
        </row>
        <row r="246">
          <cell r="B246">
            <v>6460</v>
          </cell>
          <cell r="C246" t="str">
            <v>Subscriptions &amp; Memberships (Marketing)</v>
          </cell>
          <cell r="D246">
            <v>1</v>
          </cell>
          <cell r="E246">
            <v>2</v>
          </cell>
          <cell r="F246">
            <v>0</v>
          </cell>
          <cell r="G246" t="str">
            <v>6499</v>
          </cell>
          <cell r="H246" t="str">
            <v>Dr</v>
          </cell>
          <cell r="I246" t="str">
            <v>Yes</v>
          </cell>
          <cell r="J246" t="str">
            <v>Never</v>
          </cell>
          <cell r="K246" t="str">
            <v>Marketing &amp; Market Research</v>
          </cell>
        </row>
        <row r="247">
          <cell r="B247">
            <v>6470</v>
          </cell>
          <cell r="C247" t="str">
            <v>Marketing Consultants</v>
          </cell>
          <cell r="D247">
            <v>1</v>
          </cell>
          <cell r="E247">
            <v>2</v>
          </cell>
          <cell r="F247">
            <v>0</v>
          </cell>
          <cell r="G247" t="str">
            <v>6499</v>
          </cell>
          <cell r="H247" t="str">
            <v>Dr</v>
          </cell>
          <cell r="I247" t="str">
            <v>Yes</v>
          </cell>
          <cell r="J247" t="str">
            <v>Never</v>
          </cell>
          <cell r="K247" t="str">
            <v>Marketing &amp; Market Research</v>
          </cell>
        </row>
        <row r="248">
          <cell r="B248">
            <v>6480</v>
          </cell>
          <cell r="C248" t="str">
            <v>Travel - Flights &amp; Accomm. MKTG</v>
          </cell>
          <cell r="D248">
            <v>1</v>
          </cell>
          <cell r="E248">
            <v>2</v>
          </cell>
          <cell r="F248">
            <v>0</v>
          </cell>
          <cell r="G248" t="str">
            <v>6499</v>
          </cell>
          <cell r="H248" t="str">
            <v>Dr</v>
          </cell>
          <cell r="I248" t="str">
            <v>Yes</v>
          </cell>
          <cell r="J248" t="str">
            <v>Never</v>
          </cell>
          <cell r="K248" t="str">
            <v>Marketing &amp; Market Research</v>
          </cell>
        </row>
        <row r="249">
          <cell r="B249">
            <v>6485</v>
          </cell>
          <cell r="C249" t="str">
            <v>Travel - Taxi &amp; Vehicle Expenses MKTG</v>
          </cell>
          <cell r="D249">
            <v>1</v>
          </cell>
          <cell r="E249">
            <v>2</v>
          </cell>
          <cell r="F249">
            <v>0</v>
          </cell>
          <cell r="G249" t="str">
            <v>6499</v>
          </cell>
          <cell r="H249" t="str">
            <v>Dr</v>
          </cell>
          <cell r="I249" t="str">
            <v>Yes</v>
          </cell>
          <cell r="J249" t="str">
            <v>Never</v>
          </cell>
          <cell r="K249" t="str">
            <v>Marketing &amp; Market Research</v>
          </cell>
        </row>
        <row r="250">
          <cell r="B250">
            <v>6490</v>
          </cell>
          <cell r="C250" t="str">
            <v>Travel - Meals &amp; Entertainment MKTG</v>
          </cell>
          <cell r="D250">
            <v>1</v>
          </cell>
          <cell r="E250">
            <v>2</v>
          </cell>
          <cell r="F250">
            <v>0</v>
          </cell>
          <cell r="G250" t="str">
            <v>6499</v>
          </cell>
          <cell r="H250" t="str">
            <v>Dr</v>
          </cell>
          <cell r="I250" t="str">
            <v>Yes</v>
          </cell>
          <cell r="J250" t="str">
            <v>Never</v>
          </cell>
          <cell r="K250" t="str">
            <v>Marketing &amp; Market Research</v>
          </cell>
        </row>
        <row r="251">
          <cell r="B251">
            <v>6510</v>
          </cell>
          <cell r="C251" t="str">
            <v>Fuel</v>
          </cell>
          <cell r="D251">
            <v>1</v>
          </cell>
          <cell r="E251">
            <v>2</v>
          </cell>
          <cell r="F251">
            <v>0</v>
          </cell>
          <cell r="G251" t="str">
            <v>6549</v>
          </cell>
          <cell r="H251" t="str">
            <v>Dr</v>
          </cell>
          <cell r="I251" t="str">
            <v>Yes</v>
          </cell>
          <cell r="J251" t="str">
            <v>Never</v>
          </cell>
          <cell r="K251" t="str">
            <v>General Administrative</v>
          </cell>
        </row>
        <row r="252">
          <cell r="B252">
            <v>6520</v>
          </cell>
          <cell r="C252" t="str">
            <v>Registration</v>
          </cell>
          <cell r="D252">
            <v>1</v>
          </cell>
          <cell r="E252">
            <v>2</v>
          </cell>
          <cell r="F252">
            <v>0</v>
          </cell>
          <cell r="G252" t="str">
            <v>6549</v>
          </cell>
          <cell r="H252" t="str">
            <v>Dr</v>
          </cell>
          <cell r="I252" t="str">
            <v>Yes</v>
          </cell>
          <cell r="J252" t="str">
            <v>Never</v>
          </cell>
          <cell r="K252" t="str">
            <v>General Administrative</v>
          </cell>
        </row>
        <row r="253">
          <cell r="B253">
            <v>6530</v>
          </cell>
          <cell r="C253" t="str">
            <v>Repairs &amp; Maintenance MV</v>
          </cell>
          <cell r="D253">
            <v>1</v>
          </cell>
          <cell r="E253">
            <v>2</v>
          </cell>
          <cell r="F253">
            <v>0</v>
          </cell>
          <cell r="G253" t="str">
            <v>6549</v>
          </cell>
          <cell r="H253" t="str">
            <v>Dr</v>
          </cell>
          <cell r="I253" t="str">
            <v>Yes</v>
          </cell>
          <cell r="J253" t="str">
            <v>Never</v>
          </cell>
          <cell r="K253" t="str">
            <v>Maintenance &amp; Upkeep</v>
          </cell>
        </row>
        <row r="254">
          <cell r="B254">
            <v>6549</v>
          </cell>
          <cell r="C254" t="str">
            <v>MV Total</v>
          </cell>
          <cell r="D254">
            <v>1</v>
          </cell>
          <cell r="E254">
            <v>2</v>
          </cell>
          <cell r="F254">
            <v>0</v>
          </cell>
          <cell r="G254" t="str">
            <v>6549</v>
          </cell>
          <cell r="H254" t="str">
            <v>Dr</v>
          </cell>
          <cell r="I254" t="str">
            <v>Yes</v>
          </cell>
          <cell r="J254" t="str">
            <v>Never</v>
          </cell>
          <cell r="K254" t="e">
            <v>#N/A</v>
          </cell>
        </row>
        <row r="255">
          <cell r="B255">
            <v>6611</v>
          </cell>
          <cell r="C255" t="str">
            <v>Rent WA</v>
          </cell>
          <cell r="D255">
            <v>1</v>
          </cell>
          <cell r="E255">
            <v>1</v>
          </cell>
          <cell r="F255">
            <v>0</v>
          </cell>
          <cell r="G255" t="str">
            <v>6613</v>
          </cell>
          <cell r="H255" t="str">
            <v>Dr</v>
          </cell>
          <cell r="I255" t="str">
            <v>Yes</v>
          </cell>
          <cell r="J255" t="str">
            <v>Never</v>
          </cell>
          <cell r="K255" t="str">
            <v>Rental</v>
          </cell>
        </row>
        <row r="256">
          <cell r="B256">
            <v>6614</v>
          </cell>
          <cell r="C256" t="str">
            <v>Rent WA Reversal Pre IFRS</v>
          </cell>
          <cell r="D256">
            <v>1</v>
          </cell>
          <cell r="E256">
            <v>1</v>
          </cell>
          <cell r="F256">
            <v>0</v>
          </cell>
          <cell r="G256" t="str">
            <v>6613</v>
          </cell>
          <cell r="H256" t="str">
            <v>Dr</v>
          </cell>
          <cell r="I256" t="str">
            <v>Yes</v>
          </cell>
          <cell r="J256" t="str">
            <v>Never</v>
          </cell>
          <cell r="K256" t="str">
            <v>Rental</v>
          </cell>
        </row>
        <row r="257">
          <cell r="B257">
            <v>6619</v>
          </cell>
          <cell r="C257" t="str">
            <v>Rent adjustment</v>
          </cell>
          <cell r="D257">
            <v>1</v>
          </cell>
          <cell r="E257">
            <v>1</v>
          </cell>
          <cell r="F257">
            <v>0</v>
          </cell>
          <cell r="G257" t="str">
            <v>6613</v>
          </cell>
          <cell r="H257" t="str">
            <v>Dr</v>
          </cell>
          <cell r="I257" t="str">
            <v>Yes</v>
          </cell>
          <cell r="J257" t="str">
            <v>Never</v>
          </cell>
          <cell r="K257" t="str">
            <v>Rental</v>
          </cell>
        </row>
        <row r="258">
          <cell r="B258">
            <v>6612</v>
          </cell>
          <cell r="C258" t="str">
            <v>Rent QLD</v>
          </cell>
          <cell r="D258">
            <v>1</v>
          </cell>
          <cell r="E258">
            <v>1</v>
          </cell>
          <cell r="F258">
            <v>0</v>
          </cell>
          <cell r="G258" t="str">
            <v>6623</v>
          </cell>
          <cell r="H258" t="str">
            <v>Dr</v>
          </cell>
          <cell r="I258" t="str">
            <v>Yes</v>
          </cell>
          <cell r="J258" t="str">
            <v>Never</v>
          </cell>
          <cell r="K258" t="str">
            <v>Rental</v>
          </cell>
        </row>
        <row r="259">
          <cell r="B259">
            <v>6621</v>
          </cell>
          <cell r="C259" t="str">
            <v>Rates &amp; Taxes WA</v>
          </cell>
          <cell r="D259">
            <v>1</v>
          </cell>
          <cell r="E259">
            <v>1</v>
          </cell>
          <cell r="F259">
            <v>0</v>
          </cell>
          <cell r="G259" t="str">
            <v>6613</v>
          </cell>
          <cell r="H259" t="str">
            <v>Dr</v>
          </cell>
          <cell r="I259" t="str">
            <v>Yes</v>
          </cell>
          <cell r="J259" t="str">
            <v>Never</v>
          </cell>
          <cell r="K259" t="str">
            <v>Rental</v>
          </cell>
        </row>
        <row r="260">
          <cell r="B260">
            <v>6622</v>
          </cell>
          <cell r="C260" t="str">
            <v>Rates &amp; Taxes QLD</v>
          </cell>
          <cell r="D260">
            <v>1</v>
          </cell>
          <cell r="E260">
            <v>1</v>
          </cell>
          <cell r="F260">
            <v>0</v>
          </cell>
          <cell r="G260" t="str">
            <v>6623</v>
          </cell>
          <cell r="H260" t="str">
            <v>Dr</v>
          </cell>
          <cell r="I260" t="str">
            <v>Yes</v>
          </cell>
          <cell r="J260" t="str">
            <v>Never</v>
          </cell>
          <cell r="K260" t="str">
            <v>Maintenance &amp; Upkeep</v>
          </cell>
        </row>
        <row r="261">
          <cell r="B261">
            <v>6631</v>
          </cell>
          <cell r="C261" t="str">
            <v>Cleaning WA</v>
          </cell>
          <cell r="D261">
            <v>1</v>
          </cell>
          <cell r="E261">
            <v>1</v>
          </cell>
          <cell r="F261">
            <v>0</v>
          </cell>
          <cell r="G261" t="str">
            <v>6613</v>
          </cell>
          <cell r="H261" t="str">
            <v>Dr</v>
          </cell>
          <cell r="I261" t="str">
            <v>Yes</v>
          </cell>
          <cell r="J261" t="str">
            <v>Never</v>
          </cell>
          <cell r="K261" t="str">
            <v>Maintenance &amp; Upkeep</v>
          </cell>
        </row>
        <row r="262">
          <cell r="B262">
            <v>6632</v>
          </cell>
          <cell r="C262" t="str">
            <v>Cleaning QLD</v>
          </cell>
          <cell r="D262">
            <v>1</v>
          </cell>
          <cell r="E262">
            <v>1</v>
          </cell>
          <cell r="F262">
            <v>0</v>
          </cell>
          <cell r="G262" t="str">
            <v>6623</v>
          </cell>
          <cell r="H262" t="str">
            <v>Dr</v>
          </cell>
          <cell r="I262" t="str">
            <v>Yes</v>
          </cell>
          <cell r="J262" t="str">
            <v>Never</v>
          </cell>
          <cell r="K262" t="str">
            <v>Maintenance &amp; Upkeep</v>
          </cell>
        </row>
        <row r="263">
          <cell r="B263">
            <v>6641</v>
          </cell>
          <cell r="C263" t="str">
            <v>Utilities WA</v>
          </cell>
          <cell r="D263">
            <v>1</v>
          </cell>
          <cell r="E263">
            <v>1</v>
          </cell>
          <cell r="F263">
            <v>0</v>
          </cell>
          <cell r="G263" t="str">
            <v>6613</v>
          </cell>
          <cell r="H263" t="str">
            <v>Dr</v>
          </cell>
          <cell r="I263" t="str">
            <v>Yes</v>
          </cell>
          <cell r="J263" t="str">
            <v>Never</v>
          </cell>
          <cell r="K263" t="str">
            <v>Utilities</v>
          </cell>
        </row>
        <row r="264">
          <cell r="B264">
            <v>6642</v>
          </cell>
          <cell r="C264" t="str">
            <v>Utilities QLD</v>
          </cell>
          <cell r="D264">
            <v>1</v>
          </cell>
          <cell r="E264">
            <v>1</v>
          </cell>
          <cell r="F264">
            <v>0</v>
          </cell>
          <cell r="G264" t="str">
            <v>6623</v>
          </cell>
          <cell r="H264" t="str">
            <v>Dr</v>
          </cell>
          <cell r="I264" t="str">
            <v>Yes</v>
          </cell>
          <cell r="J264" t="str">
            <v>Never</v>
          </cell>
          <cell r="K264" t="str">
            <v>Utilities</v>
          </cell>
        </row>
        <row r="265">
          <cell r="B265">
            <v>6651</v>
          </cell>
          <cell r="C265" t="str">
            <v>Repairs &amp; Maintenance WA</v>
          </cell>
          <cell r="D265">
            <v>1</v>
          </cell>
          <cell r="E265">
            <v>1</v>
          </cell>
          <cell r="F265">
            <v>0</v>
          </cell>
          <cell r="G265" t="str">
            <v>6613</v>
          </cell>
          <cell r="H265" t="str">
            <v>Dr</v>
          </cell>
          <cell r="I265" t="str">
            <v>Yes</v>
          </cell>
          <cell r="J265" t="str">
            <v>Never</v>
          </cell>
          <cell r="K265" t="str">
            <v>Maintenance &amp; Upkeep</v>
          </cell>
        </row>
        <row r="266">
          <cell r="B266">
            <v>6652</v>
          </cell>
          <cell r="C266" t="str">
            <v>Repairs &amp; Maintenance QLD</v>
          </cell>
          <cell r="D266">
            <v>1</v>
          </cell>
          <cell r="E266">
            <v>1</v>
          </cell>
          <cell r="F266">
            <v>0</v>
          </cell>
          <cell r="G266" t="str">
            <v>6623</v>
          </cell>
          <cell r="H266" t="str">
            <v>Dr</v>
          </cell>
          <cell r="I266" t="str">
            <v>Yes</v>
          </cell>
          <cell r="J266" t="str">
            <v>Never</v>
          </cell>
          <cell r="K266" t="str">
            <v>Maintenance &amp; Upkeep</v>
          </cell>
        </row>
        <row r="267">
          <cell r="B267">
            <v>6661</v>
          </cell>
          <cell r="C267" t="str">
            <v>Office Supplies, Postage, Copier WA</v>
          </cell>
          <cell r="D267">
            <v>1</v>
          </cell>
          <cell r="E267">
            <v>1</v>
          </cell>
          <cell r="F267">
            <v>0</v>
          </cell>
          <cell r="G267" t="str">
            <v>6613</v>
          </cell>
          <cell r="H267" t="str">
            <v>Dr</v>
          </cell>
          <cell r="I267" t="str">
            <v>Yes</v>
          </cell>
          <cell r="J267" t="str">
            <v>Never</v>
          </cell>
          <cell r="K267" t="str">
            <v>General Administrative</v>
          </cell>
        </row>
        <row r="268">
          <cell r="B268">
            <v>6662</v>
          </cell>
          <cell r="C268" t="str">
            <v>Office Supplies, Postage, Copier QLD</v>
          </cell>
          <cell r="D268">
            <v>1</v>
          </cell>
          <cell r="E268">
            <v>1</v>
          </cell>
          <cell r="F268">
            <v>0</v>
          </cell>
          <cell r="G268" t="str">
            <v>6623</v>
          </cell>
          <cell r="H268" t="str">
            <v>Dr</v>
          </cell>
          <cell r="I268" t="str">
            <v>Yes</v>
          </cell>
          <cell r="J268" t="str">
            <v>Never</v>
          </cell>
          <cell r="K268" t="str">
            <v>General Administrative</v>
          </cell>
        </row>
        <row r="269">
          <cell r="B269">
            <v>6665</v>
          </cell>
          <cell r="C269" t="str">
            <v>Computer &amp; Office Equipment</v>
          </cell>
          <cell r="D269">
            <v>1</v>
          </cell>
          <cell r="E269">
            <v>1</v>
          </cell>
          <cell r="F269">
            <v>0</v>
          </cell>
          <cell r="G269" t="str">
            <v>6623</v>
          </cell>
          <cell r="H269" t="str">
            <v>Dr</v>
          </cell>
          <cell r="I269" t="str">
            <v>Yes</v>
          </cell>
          <cell r="J269" t="str">
            <v>Never</v>
          </cell>
          <cell r="K269" t="str">
            <v>General Administrative</v>
          </cell>
        </row>
        <row r="270">
          <cell r="B270">
            <v>6671</v>
          </cell>
          <cell r="C270" t="str">
            <v>Security WA</v>
          </cell>
          <cell r="D270">
            <v>1</v>
          </cell>
          <cell r="E270">
            <v>1</v>
          </cell>
          <cell r="F270">
            <v>0</v>
          </cell>
          <cell r="G270" t="str">
            <v>6613</v>
          </cell>
          <cell r="H270" t="str">
            <v>Dr</v>
          </cell>
          <cell r="I270" t="str">
            <v>Yes</v>
          </cell>
          <cell r="J270" t="str">
            <v>Never</v>
          </cell>
          <cell r="K270" t="str">
            <v>General Administrative</v>
          </cell>
        </row>
        <row r="271">
          <cell r="B271">
            <v>6672</v>
          </cell>
          <cell r="C271" t="str">
            <v>Security QLD</v>
          </cell>
          <cell r="D271">
            <v>1</v>
          </cell>
          <cell r="E271">
            <v>1</v>
          </cell>
          <cell r="F271">
            <v>0</v>
          </cell>
          <cell r="G271" t="str">
            <v>6623</v>
          </cell>
          <cell r="H271" t="str">
            <v>Dr</v>
          </cell>
          <cell r="I271" t="str">
            <v>Yes</v>
          </cell>
          <cell r="J271" t="str">
            <v>Never</v>
          </cell>
          <cell r="K271" t="str">
            <v>General Administrative</v>
          </cell>
        </row>
        <row r="272">
          <cell r="B272">
            <v>6699</v>
          </cell>
          <cell r="C272" t="str">
            <v>Royalties</v>
          </cell>
          <cell r="D272">
            <v>1</v>
          </cell>
          <cell r="E272">
            <v>2</v>
          </cell>
          <cell r="F272">
            <v>0</v>
          </cell>
          <cell r="G272" t="str">
            <v>6380</v>
          </cell>
          <cell r="H272" t="str">
            <v>Dr</v>
          </cell>
          <cell r="I272" t="str">
            <v>Yes</v>
          </cell>
          <cell r="J272" t="str">
            <v>Never</v>
          </cell>
          <cell r="K272" t="str">
            <v>Royalties and Management Fee</v>
          </cell>
        </row>
        <row r="273">
          <cell r="B273">
            <v>6711</v>
          </cell>
          <cell r="C273" t="str">
            <v>Admin Wages Recovery</v>
          </cell>
          <cell r="D273">
            <v>1</v>
          </cell>
          <cell r="E273">
            <v>1</v>
          </cell>
          <cell r="F273">
            <v>0</v>
          </cell>
          <cell r="G273" t="str">
            <v>6718</v>
          </cell>
          <cell r="H273" t="str">
            <v>Dr</v>
          </cell>
          <cell r="I273" t="str">
            <v>Yes</v>
          </cell>
          <cell r="J273" t="str">
            <v>Never</v>
          </cell>
          <cell r="K273" t="str">
            <v>Staff Cost</v>
          </cell>
        </row>
        <row r="274">
          <cell r="B274">
            <v>6713</v>
          </cell>
          <cell r="C274" t="str">
            <v>Admin Wages</v>
          </cell>
          <cell r="D274">
            <v>1</v>
          </cell>
          <cell r="E274">
            <v>1</v>
          </cell>
          <cell r="F274">
            <v>0</v>
          </cell>
          <cell r="G274" t="str">
            <v>6718</v>
          </cell>
          <cell r="H274" t="str">
            <v>Dr</v>
          </cell>
          <cell r="I274" t="str">
            <v>Yes</v>
          </cell>
          <cell r="J274" t="str">
            <v>Never</v>
          </cell>
          <cell r="K274" t="str">
            <v>Staff Cost</v>
          </cell>
        </row>
        <row r="275">
          <cell r="B275">
            <v>6714</v>
          </cell>
          <cell r="C275" t="str">
            <v>Admin Wages - Leave Accrual</v>
          </cell>
          <cell r="D275">
            <v>1</v>
          </cell>
          <cell r="E275">
            <v>1</v>
          </cell>
          <cell r="F275">
            <v>0</v>
          </cell>
          <cell r="G275" t="str">
            <v>6718</v>
          </cell>
          <cell r="H275" t="str">
            <v>Dr</v>
          </cell>
          <cell r="I275" t="str">
            <v>Yes</v>
          </cell>
          <cell r="J275" t="str">
            <v>Never</v>
          </cell>
          <cell r="K275" t="str">
            <v>Staff Cost</v>
          </cell>
        </row>
        <row r="276">
          <cell r="B276">
            <v>6715</v>
          </cell>
          <cell r="C276" t="str">
            <v>Admin Wages - LSL Accrual</v>
          </cell>
          <cell r="D276">
            <v>1</v>
          </cell>
          <cell r="E276">
            <v>1</v>
          </cell>
          <cell r="F276">
            <v>0</v>
          </cell>
          <cell r="G276" t="str">
            <v>6718</v>
          </cell>
          <cell r="H276" t="str">
            <v>Dr</v>
          </cell>
          <cell r="I276" t="str">
            <v>Yes</v>
          </cell>
          <cell r="J276" t="str">
            <v>Never</v>
          </cell>
          <cell r="K276" t="str">
            <v>Staff Cost</v>
          </cell>
        </row>
        <row r="277">
          <cell r="B277">
            <v>6719</v>
          </cell>
          <cell r="C277" t="str">
            <v>Stores Recovery</v>
          </cell>
          <cell r="D277">
            <v>1</v>
          </cell>
          <cell r="E277">
            <v>1</v>
          </cell>
          <cell r="F277">
            <v>0</v>
          </cell>
          <cell r="G277" t="str">
            <v>6718</v>
          </cell>
          <cell r="H277" t="str">
            <v>Dr</v>
          </cell>
          <cell r="I277" t="str">
            <v>Yes</v>
          </cell>
          <cell r="J277" t="str">
            <v>Never</v>
          </cell>
          <cell r="K277" t="str">
            <v>Staff Cost</v>
          </cell>
        </row>
        <row r="278">
          <cell r="B278">
            <v>6716</v>
          </cell>
          <cell r="C278" t="str">
            <v>Admin Wages - Superannuation</v>
          </cell>
          <cell r="D278">
            <v>1</v>
          </cell>
          <cell r="E278">
            <v>1</v>
          </cell>
          <cell r="F278">
            <v>0</v>
          </cell>
          <cell r="G278" t="str">
            <v>6718</v>
          </cell>
          <cell r="H278" t="str">
            <v>Dr</v>
          </cell>
          <cell r="I278" t="str">
            <v>Yes</v>
          </cell>
          <cell r="J278" t="str">
            <v>Never</v>
          </cell>
          <cell r="K278" t="str">
            <v>Staff Cost</v>
          </cell>
        </row>
        <row r="279">
          <cell r="B279">
            <v>6717</v>
          </cell>
          <cell r="C279" t="str">
            <v>Bonus</v>
          </cell>
          <cell r="D279">
            <v>1</v>
          </cell>
          <cell r="E279">
            <v>1</v>
          </cell>
          <cell r="F279">
            <v>0</v>
          </cell>
          <cell r="G279" t="str">
            <v>6719</v>
          </cell>
          <cell r="H279" t="str">
            <v>Dr</v>
          </cell>
          <cell r="I279" t="str">
            <v>Yes</v>
          </cell>
          <cell r="J279" t="str">
            <v>Never</v>
          </cell>
          <cell r="K279" t="str">
            <v>Staff Cost</v>
          </cell>
        </row>
        <row r="280">
          <cell r="B280">
            <v>6723</v>
          </cell>
          <cell r="C280" t="str">
            <v>WA Sales Wages</v>
          </cell>
          <cell r="D280">
            <v>1</v>
          </cell>
          <cell r="E280">
            <v>1</v>
          </cell>
          <cell r="F280">
            <v>0</v>
          </cell>
          <cell r="G280" t="str">
            <v>6728</v>
          </cell>
          <cell r="H280" t="str">
            <v>Dr</v>
          </cell>
          <cell r="I280" t="str">
            <v>Yes</v>
          </cell>
          <cell r="J280" t="str">
            <v>Never</v>
          </cell>
          <cell r="K280" t="str">
            <v>Staff Cost</v>
          </cell>
        </row>
        <row r="281">
          <cell r="B281">
            <v>6724</v>
          </cell>
          <cell r="C281" t="str">
            <v>WA Sales Wages - Leave Accrual</v>
          </cell>
          <cell r="D281">
            <v>1</v>
          </cell>
          <cell r="E281">
            <v>1</v>
          </cell>
          <cell r="F281">
            <v>0</v>
          </cell>
          <cell r="G281" t="str">
            <v>6728</v>
          </cell>
          <cell r="H281" t="str">
            <v>Dr</v>
          </cell>
          <cell r="I281" t="str">
            <v>Yes</v>
          </cell>
          <cell r="J281" t="str">
            <v>Never</v>
          </cell>
          <cell r="K281" t="str">
            <v>Staff Cost</v>
          </cell>
        </row>
        <row r="282">
          <cell r="B282">
            <v>6725</v>
          </cell>
          <cell r="C282" t="str">
            <v>WA Sales Wages - LSL Accrual</v>
          </cell>
          <cell r="D282">
            <v>1</v>
          </cell>
          <cell r="E282">
            <v>1</v>
          </cell>
          <cell r="F282">
            <v>0</v>
          </cell>
          <cell r="G282" t="str">
            <v>6728</v>
          </cell>
          <cell r="H282" t="str">
            <v>Dr</v>
          </cell>
          <cell r="I282" t="str">
            <v>Yes</v>
          </cell>
          <cell r="J282" t="str">
            <v>Never</v>
          </cell>
          <cell r="K282" t="str">
            <v>Staff Cost</v>
          </cell>
        </row>
        <row r="283">
          <cell r="B283">
            <v>6726</v>
          </cell>
          <cell r="C283" t="str">
            <v>WA Sales Wages - Superannuation</v>
          </cell>
          <cell r="D283">
            <v>1</v>
          </cell>
          <cell r="E283">
            <v>1</v>
          </cell>
          <cell r="F283">
            <v>0</v>
          </cell>
          <cell r="G283" t="str">
            <v>6728</v>
          </cell>
          <cell r="H283" t="str">
            <v>Dr</v>
          </cell>
          <cell r="I283" t="str">
            <v>Yes</v>
          </cell>
          <cell r="J283" t="str">
            <v>Never</v>
          </cell>
          <cell r="K283" t="str">
            <v>Staff Cost</v>
          </cell>
        </row>
        <row r="284">
          <cell r="B284">
            <v>6727</v>
          </cell>
          <cell r="C284" t="str">
            <v>WA Sales Wages - Commissions</v>
          </cell>
          <cell r="D284">
            <v>1</v>
          </cell>
          <cell r="E284">
            <v>1</v>
          </cell>
          <cell r="F284">
            <v>0</v>
          </cell>
          <cell r="G284" t="str">
            <v>6728</v>
          </cell>
          <cell r="H284" t="str">
            <v>Dr</v>
          </cell>
          <cell r="I284" t="str">
            <v>Yes</v>
          </cell>
          <cell r="J284" t="str">
            <v>Never</v>
          </cell>
          <cell r="K284" t="str">
            <v>Staff Cost</v>
          </cell>
        </row>
        <row r="285">
          <cell r="B285">
            <v>6733</v>
          </cell>
          <cell r="C285" t="str">
            <v>QLD Sales Wages</v>
          </cell>
          <cell r="D285">
            <v>1</v>
          </cell>
          <cell r="E285">
            <v>1</v>
          </cell>
          <cell r="F285">
            <v>0</v>
          </cell>
          <cell r="G285" t="str">
            <v>6738</v>
          </cell>
          <cell r="H285" t="str">
            <v>Dr</v>
          </cell>
          <cell r="I285" t="str">
            <v>Yes</v>
          </cell>
          <cell r="J285" t="str">
            <v>Never</v>
          </cell>
          <cell r="K285" t="str">
            <v>Staff Cost</v>
          </cell>
        </row>
        <row r="286">
          <cell r="B286">
            <v>6734</v>
          </cell>
          <cell r="C286" t="str">
            <v>QLD Sales Wages - Leave Accrual</v>
          </cell>
          <cell r="D286">
            <v>1</v>
          </cell>
          <cell r="E286">
            <v>1</v>
          </cell>
          <cell r="F286">
            <v>0</v>
          </cell>
          <cell r="G286" t="str">
            <v>6738</v>
          </cell>
          <cell r="H286" t="str">
            <v>Dr</v>
          </cell>
          <cell r="I286" t="str">
            <v>Yes</v>
          </cell>
          <cell r="J286" t="str">
            <v>Never</v>
          </cell>
          <cell r="K286" t="str">
            <v>Staff Cost</v>
          </cell>
        </row>
        <row r="287">
          <cell r="B287">
            <v>6735</v>
          </cell>
          <cell r="C287" t="str">
            <v>QLD Sales Wages - LSL Accrual</v>
          </cell>
          <cell r="D287">
            <v>1</v>
          </cell>
          <cell r="E287">
            <v>1</v>
          </cell>
          <cell r="F287">
            <v>0</v>
          </cell>
          <cell r="G287" t="str">
            <v>6738</v>
          </cell>
          <cell r="H287" t="str">
            <v>Dr</v>
          </cell>
          <cell r="I287" t="str">
            <v>Yes</v>
          </cell>
          <cell r="J287" t="str">
            <v>Never</v>
          </cell>
          <cell r="K287" t="str">
            <v>Staff Cost</v>
          </cell>
        </row>
        <row r="288">
          <cell r="B288">
            <v>6736</v>
          </cell>
          <cell r="C288" t="str">
            <v>QLD Sales Wages - Superannuation</v>
          </cell>
          <cell r="D288">
            <v>1</v>
          </cell>
          <cell r="E288">
            <v>1</v>
          </cell>
          <cell r="F288">
            <v>0</v>
          </cell>
          <cell r="G288" t="str">
            <v>6738</v>
          </cell>
          <cell r="H288" t="str">
            <v>Dr</v>
          </cell>
          <cell r="I288" t="str">
            <v>Yes</v>
          </cell>
          <cell r="J288" t="str">
            <v>Never</v>
          </cell>
          <cell r="K288" t="str">
            <v>Staff Cost</v>
          </cell>
        </row>
        <row r="289">
          <cell r="B289">
            <v>6737</v>
          </cell>
          <cell r="C289" t="str">
            <v>QLD Sales Wages - Commissions</v>
          </cell>
          <cell r="D289">
            <v>1</v>
          </cell>
          <cell r="E289">
            <v>1</v>
          </cell>
          <cell r="F289">
            <v>0</v>
          </cell>
          <cell r="G289" t="str">
            <v>6738</v>
          </cell>
          <cell r="H289" t="str">
            <v>Dr</v>
          </cell>
          <cell r="I289" t="str">
            <v>Yes</v>
          </cell>
          <cell r="J289" t="str">
            <v>Never</v>
          </cell>
          <cell r="K289" t="str">
            <v>Staff Cost</v>
          </cell>
        </row>
        <row r="290">
          <cell r="B290">
            <v>6743</v>
          </cell>
          <cell r="C290" t="str">
            <v>Production Wages</v>
          </cell>
          <cell r="D290">
            <v>1</v>
          </cell>
          <cell r="E290">
            <v>1</v>
          </cell>
          <cell r="F290">
            <v>0</v>
          </cell>
          <cell r="G290" t="str">
            <v>6759</v>
          </cell>
          <cell r="H290" t="str">
            <v>Dr</v>
          </cell>
          <cell r="I290" t="str">
            <v>Yes</v>
          </cell>
          <cell r="J290" t="str">
            <v>Never</v>
          </cell>
          <cell r="K290" t="str">
            <v>Staff Cost</v>
          </cell>
        </row>
        <row r="291">
          <cell r="B291">
            <v>6744</v>
          </cell>
          <cell r="C291" t="str">
            <v>Production Wages - Leave Accrual</v>
          </cell>
          <cell r="D291">
            <v>1</v>
          </cell>
          <cell r="E291">
            <v>1</v>
          </cell>
          <cell r="F291">
            <v>0</v>
          </cell>
          <cell r="G291" t="str">
            <v>6759</v>
          </cell>
          <cell r="H291" t="str">
            <v>Dr</v>
          </cell>
          <cell r="I291" t="str">
            <v>Yes</v>
          </cell>
          <cell r="J291" t="str">
            <v>Never</v>
          </cell>
          <cell r="K291" t="str">
            <v>Staff Cost</v>
          </cell>
        </row>
        <row r="292">
          <cell r="B292">
            <v>6745</v>
          </cell>
          <cell r="C292" t="str">
            <v>Production Wages - LSL Accrual</v>
          </cell>
          <cell r="D292">
            <v>1</v>
          </cell>
          <cell r="E292">
            <v>1</v>
          </cell>
          <cell r="F292">
            <v>0</v>
          </cell>
          <cell r="G292" t="str">
            <v>6759</v>
          </cell>
          <cell r="H292" t="str">
            <v>Dr</v>
          </cell>
          <cell r="I292" t="str">
            <v>Yes</v>
          </cell>
          <cell r="J292" t="str">
            <v>Never</v>
          </cell>
          <cell r="K292" t="str">
            <v>Staff Cost</v>
          </cell>
        </row>
        <row r="293">
          <cell r="B293">
            <v>6746</v>
          </cell>
          <cell r="C293" t="str">
            <v>Production Wages - Superannuation</v>
          </cell>
          <cell r="D293">
            <v>1</v>
          </cell>
          <cell r="E293">
            <v>1</v>
          </cell>
          <cell r="F293">
            <v>0</v>
          </cell>
          <cell r="G293" t="str">
            <v>6759</v>
          </cell>
          <cell r="H293" t="str">
            <v>Dr</v>
          </cell>
          <cell r="I293" t="str">
            <v>Yes</v>
          </cell>
          <cell r="J293" t="str">
            <v>Never</v>
          </cell>
          <cell r="K293" t="str">
            <v>Staff Cost</v>
          </cell>
        </row>
        <row r="294">
          <cell r="B294">
            <v>6748</v>
          </cell>
          <cell r="C294" t="str">
            <v>Production Wages Recovery</v>
          </cell>
          <cell r="D294">
            <v>1</v>
          </cell>
          <cell r="E294">
            <v>1</v>
          </cell>
          <cell r="F294">
            <v>0</v>
          </cell>
          <cell r="G294" t="str">
            <v>6759</v>
          </cell>
          <cell r="H294" t="str">
            <v>Dr</v>
          </cell>
          <cell r="I294" t="str">
            <v>Yes</v>
          </cell>
          <cell r="J294" t="str">
            <v>Never</v>
          </cell>
          <cell r="K294" t="str">
            <v>Staff Cost</v>
          </cell>
        </row>
        <row r="295">
          <cell r="B295">
            <v>6753</v>
          </cell>
          <cell r="C295" t="str">
            <v>Engineering Wages</v>
          </cell>
          <cell r="D295">
            <v>1</v>
          </cell>
          <cell r="E295">
            <v>1</v>
          </cell>
          <cell r="F295">
            <v>0</v>
          </cell>
          <cell r="G295" t="str">
            <v>6759</v>
          </cell>
          <cell r="H295" t="str">
            <v>Dr</v>
          </cell>
          <cell r="I295" t="str">
            <v>Yes</v>
          </cell>
          <cell r="J295" t="str">
            <v>Never</v>
          </cell>
          <cell r="K295" t="str">
            <v>Staff Cost</v>
          </cell>
        </row>
        <row r="296">
          <cell r="B296">
            <v>6754</v>
          </cell>
          <cell r="C296" t="str">
            <v>Engineering Wages - Leave Accrual</v>
          </cell>
          <cell r="D296">
            <v>1</v>
          </cell>
          <cell r="E296">
            <v>1</v>
          </cell>
          <cell r="F296">
            <v>0</v>
          </cell>
          <cell r="G296" t="str">
            <v>6759</v>
          </cell>
          <cell r="H296" t="str">
            <v>Dr</v>
          </cell>
          <cell r="I296" t="str">
            <v>Yes</v>
          </cell>
          <cell r="J296" t="str">
            <v>Never</v>
          </cell>
          <cell r="K296" t="str">
            <v>Staff Cost</v>
          </cell>
        </row>
        <row r="297">
          <cell r="B297">
            <v>6755</v>
          </cell>
          <cell r="C297" t="str">
            <v>Engineering Wages - LSL Accrual</v>
          </cell>
          <cell r="D297">
            <v>1</v>
          </cell>
          <cell r="E297">
            <v>1</v>
          </cell>
          <cell r="F297">
            <v>0</v>
          </cell>
          <cell r="G297" t="str">
            <v>6759</v>
          </cell>
          <cell r="H297" t="str">
            <v>Dr</v>
          </cell>
          <cell r="I297" t="str">
            <v>Yes</v>
          </cell>
          <cell r="J297" t="str">
            <v>Never</v>
          </cell>
          <cell r="K297" t="str">
            <v>Staff Cost</v>
          </cell>
        </row>
        <row r="298">
          <cell r="B298">
            <v>6756</v>
          </cell>
          <cell r="C298" t="str">
            <v>Engineering Wages - Superannuation</v>
          </cell>
          <cell r="D298">
            <v>1</v>
          </cell>
          <cell r="E298">
            <v>1</v>
          </cell>
          <cell r="F298">
            <v>0</v>
          </cell>
          <cell r="G298" t="str">
            <v>6759</v>
          </cell>
          <cell r="H298" t="str">
            <v>Dr</v>
          </cell>
          <cell r="I298" t="str">
            <v>Yes</v>
          </cell>
          <cell r="J298" t="str">
            <v>Never</v>
          </cell>
          <cell r="K298" t="str">
            <v>Staff Cost</v>
          </cell>
        </row>
        <row r="299">
          <cell r="B299">
            <v>6757</v>
          </cell>
          <cell r="C299" t="str">
            <v>Engineering Wages - Commissions</v>
          </cell>
          <cell r="D299">
            <v>1</v>
          </cell>
          <cell r="E299">
            <v>1</v>
          </cell>
          <cell r="F299">
            <v>0</v>
          </cell>
          <cell r="G299" t="str">
            <v>6759</v>
          </cell>
          <cell r="H299" t="str">
            <v>Dr</v>
          </cell>
          <cell r="I299" t="str">
            <v>Yes</v>
          </cell>
          <cell r="J299" t="str">
            <v>Never</v>
          </cell>
          <cell r="K299" t="str">
            <v>Staff Cost</v>
          </cell>
        </row>
        <row r="300">
          <cell r="B300">
            <v>6758</v>
          </cell>
          <cell r="C300" t="str">
            <v>Engineering Wages - Recovery</v>
          </cell>
          <cell r="D300">
            <v>1</v>
          </cell>
          <cell r="E300">
            <v>1</v>
          </cell>
          <cell r="F300">
            <v>0</v>
          </cell>
          <cell r="G300" t="str">
            <v>6759</v>
          </cell>
          <cell r="H300" t="str">
            <v>Dr</v>
          </cell>
          <cell r="I300" t="str">
            <v>Yes</v>
          </cell>
          <cell r="J300" t="str">
            <v>Never</v>
          </cell>
          <cell r="K300" t="str">
            <v>Staff Cost</v>
          </cell>
        </row>
        <row r="301">
          <cell r="B301">
            <v>6783</v>
          </cell>
          <cell r="C301" t="str">
            <v>Systems/Support Wages</v>
          </cell>
          <cell r="E301">
            <v>1</v>
          </cell>
          <cell r="F301">
            <v>0</v>
          </cell>
          <cell r="G301" t="str">
            <v>6759</v>
          </cell>
          <cell r="H301" t="str">
            <v>Dr</v>
          </cell>
          <cell r="I301" t="str">
            <v>Yes</v>
          </cell>
          <cell r="J301" t="str">
            <v>Never</v>
          </cell>
          <cell r="K301" t="str">
            <v>Staff Cost</v>
          </cell>
        </row>
        <row r="302">
          <cell r="B302">
            <v>6786</v>
          </cell>
          <cell r="C302" t="str">
            <v>Systems/Support Wages - Superannuation</v>
          </cell>
          <cell r="E302">
            <v>1</v>
          </cell>
          <cell r="F302">
            <v>0</v>
          </cell>
          <cell r="G302" t="str">
            <v>6759</v>
          </cell>
          <cell r="H302" t="str">
            <v>Dr</v>
          </cell>
          <cell r="I302" t="str">
            <v>Yes</v>
          </cell>
          <cell r="J302" t="str">
            <v>Never</v>
          </cell>
          <cell r="K302" t="str">
            <v>Staff Cost</v>
          </cell>
        </row>
        <row r="303">
          <cell r="B303">
            <v>6787</v>
          </cell>
          <cell r="C303" t="str">
            <v>Systems/After Hours Support</v>
          </cell>
          <cell r="E303">
            <v>1</v>
          </cell>
          <cell r="F303">
            <v>0</v>
          </cell>
          <cell r="G303" t="str">
            <v>6759</v>
          </cell>
          <cell r="H303" t="str">
            <v>Dr</v>
          </cell>
          <cell r="I303" t="str">
            <v>Yes</v>
          </cell>
          <cell r="J303" t="str">
            <v>Never</v>
          </cell>
          <cell r="K303" t="str">
            <v>Staff Cost</v>
          </cell>
        </row>
        <row r="304">
          <cell r="B304">
            <v>6784</v>
          </cell>
          <cell r="C304" t="str">
            <v>Systems/Support  - Leave Accrual</v>
          </cell>
          <cell r="E304">
            <v>1</v>
          </cell>
          <cell r="F304">
            <v>0</v>
          </cell>
          <cell r="G304" t="str">
            <v>6759</v>
          </cell>
          <cell r="H304" t="str">
            <v>Dr</v>
          </cell>
          <cell r="I304" t="str">
            <v>Yes</v>
          </cell>
          <cell r="J304" t="str">
            <v>Never</v>
          </cell>
          <cell r="K304" t="str">
            <v>Staff Cost</v>
          </cell>
        </row>
        <row r="305">
          <cell r="B305">
            <v>6785</v>
          </cell>
          <cell r="C305" t="str">
            <v>Systems/Support - LSL Accrual</v>
          </cell>
          <cell r="E305">
            <v>1</v>
          </cell>
          <cell r="F305">
            <v>0</v>
          </cell>
          <cell r="G305" t="str">
            <v>6759</v>
          </cell>
          <cell r="H305" t="str">
            <v>Dr</v>
          </cell>
          <cell r="I305" t="str">
            <v>Yes</v>
          </cell>
          <cell r="J305" t="str">
            <v>Never</v>
          </cell>
          <cell r="K305" t="str">
            <v>Staff Cost</v>
          </cell>
        </row>
        <row r="306">
          <cell r="B306">
            <v>6788</v>
          </cell>
          <cell r="C306" t="str">
            <v>Systems/Support Wages Recovery</v>
          </cell>
          <cell r="E306">
            <v>1</v>
          </cell>
          <cell r="F306">
            <v>0</v>
          </cell>
          <cell r="G306" t="str">
            <v>6759</v>
          </cell>
          <cell r="H306" t="str">
            <v>Dr</v>
          </cell>
          <cell r="I306" t="str">
            <v>Yes</v>
          </cell>
          <cell r="J306" t="str">
            <v>Never</v>
          </cell>
          <cell r="K306" t="str">
            <v>Staff Cost</v>
          </cell>
        </row>
        <row r="307">
          <cell r="B307">
            <v>6763</v>
          </cell>
          <cell r="C307" t="str">
            <v>Marketing Wages</v>
          </cell>
          <cell r="D307">
            <v>1</v>
          </cell>
          <cell r="E307">
            <v>1</v>
          </cell>
          <cell r="F307">
            <v>0</v>
          </cell>
          <cell r="G307" t="str">
            <v>6759</v>
          </cell>
          <cell r="H307" t="str">
            <v>Dr</v>
          </cell>
          <cell r="I307" t="str">
            <v>Yes</v>
          </cell>
          <cell r="J307" t="str">
            <v>Never</v>
          </cell>
          <cell r="K307" t="str">
            <v>Staff Cost</v>
          </cell>
        </row>
        <row r="308">
          <cell r="B308">
            <v>6764</v>
          </cell>
          <cell r="C308" t="str">
            <v>Marketing Wages - leave accrual</v>
          </cell>
          <cell r="D308">
            <v>1</v>
          </cell>
          <cell r="E308">
            <v>1</v>
          </cell>
          <cell r="F308">
            <v>0</v>
          </cell>
          <cell r="G308" t="str">
            <v>6759</v>
          </cell>
          <cell r="H308" t="str">
            <v>Dr</v>
          </cell>
          <cell r="I308" t="str">
            <v>Yes</v>
          </cell>
          <cell r="J308" t="str">
            <v>Never</v>
          </cell>
          <cell r="K308" t="str">
            <v>Staff Cost</v>
          </cell>
        </row>
        <row r="309">
          <cell r="B309">
            <v>6765</v>
          </cell>
          <cell r="C309" t="str">
            <v>Marketing Wages - LSL Accrued</v>
          </cell>
          <cell r="D309">
            <v>1</v>
          </cell>
          <cell r="E309">
            <v>1</v>
          </cell>
          <cell r="F309">
            <v>0</v>
          </cell>
          <cell r="G309" t="str">
            <v>6759</v>
          </cell>
          <cell r="H309" t="str">
            <v>Dr</v>
          </cell>
          <cell r="I309" t="str">
            <v>Yes</v>
          </cell>
          <cell r="J309" t="str">
            <v>Never</v>
          </cell>
          <cell r="K309" t="str">
            <v>Staff Cost</v>
          </cell>
        </row>
        <row r="310">
          <cell r="B310">
            <v>6766</v>
          </cell>
          <cell r="C310" t="str">
            <v>Marketing Wages - Superannuation</v>
          </cell>
          <cell r="D310">
            <v>1</v>
          </cell>
          <cell r="E310">
            <v>1</v>
          </cell>
          <cell r="F310">
            <v>0</v>
          </cell>
          <cell r="G310" t="str">
            <v>6759</v>
          </cell>
          <cell r="H310" t="str">
            <v>Dr</v>
          </cell>
          <cell r="I310" t="str">
            <v>Yes</v>
          </cell>
          <cell r="J310" t="str">
            <v>Never</v>
          </cell>
          <cell r="K310" t="str">
            <v>Staff Cost</v>
          </cell>
        </row>
        <row r="311">
          <cell r="B311">
            <v>6772</v>
          </cell>
          <cell r="C311" t="str">
            <v>Global Teams Fees &amp; Charges</v>
          </cell>
          <cell r="D311">
            <v>1</v>
          </cell>
          <cell r="E311">
            <v>1</v>
          </cell>
          <cell r="F311">
            <v>0</v>
          </cell>
          <cell r="G311" t="str">
            <v>6759</v>
          </cell>
          <cell r="H311" t="str">
            <v>Dr</v>
          </cell>
          <cell r="I311" t="str">
            <v>Yes</v>
          </cell>
          <cell r="J311" t="str">
            <v>Never</v>
          </cell>
          <cell r="K311" t="str">
            <v>Staff Cost</v>
          </cell>
        </row>
        <row r="312">
          <cell r="B312">
            <v>6773</v>
          </cell>
          <cell r="C312" t="str">
            <v>Global Teams Salaries</v>
          </cell>
          <cell r="D312">
            <v>1</v>
          </cell>
          <cell r="E312">
            <v>1</v>
          </cell>
          <cell r="F312">
            <v>0</v>
          </cell>
          <cell r="G312" t="str">
            <v>6759</v>
          </cell>
          <cell r="H312" t="str">
            <v>Dr</v>
          </cell>
          <cell r="I312" t="str">
            <v>Yes</v>
          </cell>
          <cell r="J312" t="str">
            <v>Never</v>
          </cell>
          <cell r="K312" t="str">
            <v>Staff Cost</v>
          </cell>
        </row>
        <row r="313">
          <cell r="B313">
            <v>6774</v>
          </cell>
          <cell r="C313" t="str">
            <v>Global Leave Accrued</v>
          </cell>
          <cell r="D313">
            <v>1</v>
          </cell>
          <cell r="E313">
            <v>1</v>
          </cell>
          <cell r="F313">
            <v>0</v>
          </cell>
          <cell r="G313" t="str">
            <v>6749</v>
          </cell>
          <cell r="H313" t="str">
            <v>Dr</v>
          </cell>
          <cell r="I313" t="str">
            <v>Yes</v>
          </cell>
          <cell r="J313" t="str">
            <v>Never</v>
          </cell>
          <cell r="K313" t="str">
            <v>Staff Cost</v>
          </cell>
        </row>
        <row r="314">
          <cell r="B314">
            <v>6877</v>
          </cell>
          <cell r="C314" t="str">
            <v>Payroll Reimbursement Clearing</v>
          </cell>
          <cell r="D314">
            <v>1</v>
          </cell>
          <cell r="E314">
            <v>1</v>
          </cell>
          <cell r="F314">
            <v>0</v>
          </cell>
          <cell r="G314" t="str">
            <v>6749</v>
          </cell>
          <cell r="H314" t="str">
            <v>Dr</v>
          </cell>
          <cell r="I314" t="str">
            <v>Yes</v>
          </cell>
          <cell r="J314" t="str">
            <v>Never</v>
          </cell>
          <cell r="K314" t="str">
            <v>Staff Cost</v>
          </cell>
        </row>
        <row r="315">
          <cell r="B315">
            <v>6791</v>
          </cell>
          <cell r="C315" t="str">
            <v>Payroll Tax WA</v>
          </cell>
          <cell r="D315">
            <v>1</v>
          </cell>
          <cell r="E315">
            <v>1</v>
          </cell>
          <cell r="F315">
            <v>0</v>
          </cell>
          <cell r="G315" t="str">
            <v>6793</v>
          </cell>
          <cell r="H315" t="str">
            <v>Dr</v>
          </cell>
          <cell r="I315" t="str">
            <v>Yes</v>
          </cell>
          <cell r="J315" t="str">
            <v>Never</v>
          </cell>
          <cell r="K315" t="str">
            <v>Staff Cost</v>
          </cell>
        </row>
        <row r="316">
          <cell r="B316">
            <v>6794</v>
          </cell>
          <cell r="C316" t="str">
            <v>Payroll Tax SA</v>
          </cell>
          <cell r="D316">
            <v>1</v>
          </cell>
          <cell r="E316">
            <v>1</v>
          </cell>
          <cell r="F316">
            <v>0</v>
          </cell>
          <cell r="G316" t="str">
            <v>6793</v>
          </cell>
          <cell r="H316" t="str">
            <v>Dr</v>
          </cell>
          <cell r="I316" t="str">
            <v>Yes</v>
          </cell>
          <cell r="J316" t="str">
            <v>Never</v>
          </cell>
          <cell r="K316" t="str">
            <v>Staff Cost</v>
          </cell>
        </row>
        <row r="317">
          <cell r="B317">
            <v>6792</v>
          </cell>
          <cell r="C317" t="str">
            <v>Payroll Tax QLD</v>
          </cell>
          <cell r="D317">
            <v>1</v>
          </cell>
          <cell r="E317">
            <v>1</v>
          </cell>
          <cell r="F317">
            <v>0</v>
          </cell>
          <cell r="G317" t="str">
            <v>6793</v>
          </cell>
          <cell r="H317" t="str">
            <v>Dr</v>
          </cell>
          <cell r="I317" t="str">
            <v>Yes</v>
          </cell>
          <cell r="J317" t="str">
            <v>Never</v>
          </cell>
          <cell r="K317" t="str">
            <v>Staff Cost</v>
          </cell>
        </row>
        <row r="318">
          <cell r="B318">
            <v>6795</v>
          </cell>
          <cell r="C318" t="str">
            <v>Fringe Benefits Tax</v>
          </cell>
          <cell r="D318">
            <v>1</v>
          </cell>
          <cell r="E318">
            <v>2</v>
          </cell>
          <cell r="F318">
            <v>0</v>
          </cell>
          <cell r="G318" t="str">
            <v>6890</v>
          </cell>
          <cell r="H318" t="str">
            <v>Dr</v>
          </cell>
          <cell r="I318" t="str">
            <v>Yes</v>
          </cell>
          <cell r="J318" t="str">
            <v>Never</v>
          </cell>
          <cell r="K318" t="str">
            <v>Staff Cost</v>
          </cell>
        </row>
        <row r="319">
          <cell r="B319">
            <v>6798</v>
          </cell>
          <cell r="C319" t="str">
            <v>Worker's Compensation Payments</v>
          </cell>
          <cell r="D319">
            <v>1</v>
          </cell>
          <cell r="E319">
            <v>1</v>
          </cell>
          <cell r="F319">
            <v>0</v>
          </cell>
          <cell r="G319" t="str">
            <v>6759</v>
          </cell>
          <cell r="H319" t="str">
            <v>Dr</v>
          </cell>
          <cell r="I319" t="str">
            <v>Yes</v>
          </cell>
          <cell r="J319" t="str">
            <v>Never</v>
          </cell>
          <cell r="K319" t="str">
            <v>Staff Cost</v>
          </cell>
        </row>
        <row r="320">
          <cell r="B320">
            <v>6801</v>
          </cell>
          <cell r="C320" t="str">
            <v>R&amp;D Engineering Wages</v>
          </cell>
          <cell r="D320">
            <v>1</v>
          </cell>
          <cell r="E320">
            <v>2</v>
          </cell>
          <cell r="F320">
            <v>0</v>
          </cell>
          <cell r="G320" t="str">
            <v>6890</v>
          </cell>
          <cell r="H320" t="str">
            <v>Dr</v>
          </cell>
          <cell r="I320" t="str">
            <v>Yes</v>
          </cell>
          <cell r="J320" t="str">
            <v>Never</v>
          </cell>
          <cell r="K320" t="str">
            <v>Staff Cost</v>
          </cell>
        </row>
        <row r="321">
          <cell r="B321">
            <v>6811</v>
          </cell>
          <cell r="C321" t="str">
            <v>Staff Amenities WA</v>
          </cell>
          <cell r="D321">
            <v>1</v>
          </cell>
          <cell r="E321">
            <v>1</v>
          </cell>
          <cell r="F321">
            <v>0</v>
          </cell>
          <cell r="G321" t="str">
            <v>6813</v>
          </cell>
          <cell r="H321" t="str">
            <v>Dr</v>
          </cell>
          <cell r="I321" t="str">
            <v>Yes</v>
          </cell>
          <cell r="J321" t="str">
            <v>Never</v>
          </cell>
          <cell r="K321" t="str">
            <v>Staff Cost</v>
          </cell>
        </row>
        <row r="322">
          <cell r="B322">
            <v>6812</v>
          </cell>
          <cell r="C322" t="str">
            <v>Staff Amenities QLD</v>
          </cell>
          <cell r="D322">
            <v>1</v>
          </cell>
          <cell r="E322">
            <v>1</v>
          </cell>
          <cell r="F322">
            <v>0</v>
          </cell>
          <cell r="G322" t="str">
            <v>6813</v>
          </cell>
          <cell r="H322" t="str">
            <v>Dr</v>
          </cell>
          <cell r="I322" t="str">
            <v>Yes</v>
          </cell>
          <cell r="J322" t="str">
            <v>Never</v>
          </cell>
          <cell r="K322" t="str">
            <v>Staff Cost</v>
          </cell>
        </row>
        <row r="323">
          <cell r="B323">
            <v>6820</v>
          </cell>
          <cell r="C323" t="str">
            <v>Staff Events</v>
          </cell>
          <cell r="D323">
            <v>1</v>
          </cell>
          <cell r="E323">
            <v>2</v>
          </cell>
          <cell r="F323">
            <v>0</v>
          </cell>
          <cell r="G323" t="str">
            <v>6880</v>
          </cell>
          <cell r="H323" t="str">
            <v>Dr</v>
          </cell>
          <cell r="I323" t="str">
            <v>Yes</v>
          </cell>
          <cell r="J323" t="str">
            <v>Never</v>
          </cell>
          <cell r="K323" t="str">
            <v>Staff Cost</v>
          </cell>
        </row>
        <row r="324">
          <cell r="B324">
            <v>6830</v>
          </cell>
          <cell r="C324" t="str">
            <v>Recruitment</v>
          </cell>
          <cell r="D324">
            <v>1</v>
          </cell>
          <cell r="E324">
            <v>2</v>
          </cell>
          <cell r="F324">
            <v>0</v>
          </cell>
          <cell r="G324" t="str">
            <v>6880</v>
          </cell>
          <cell r="H324" t="str">
            <v>Dr</v>
          </cell>
          <cell r="I324" t="str">
            <v>Yes</v>
          </cell>
          <cell r="J324" t="str">
            <v>Never</v>
          </cell>
          <cell r="K324" t="str">
            <v>Staff Cost</v>
          </cell>
        </row>
        <row r="325">
          <cell r="B325">
            <v>6835</v>
          </cell>
          <cell r="C325" t="str">
            <v>Police Clearance</v>
          </cell>
          <cell r="D325">
            <v>1</v>
          </cell>
          <cell r="E325">
            <v>1</v>
          </cell>
          <cell r="F325">
            <v>0</v>
          </cell>
          <cell r="G325" t="str">
            <v>6880</v>
          </cell>
          <cell r="H325" t="str">
            <v>Dr</v>
          </cell>
          <cell r="I325" t="str">
            <v>Yes</v>
          </cell>
          <cell r="J325" t="str">
            <v>Never</v>
          </cell>
          <cell r="K325" t="str">
            <v>Staff Cost</v>
          </cell>
        </row>
        <row r="326">
          <cell r="B326">
            <v>6840</v>
          </cell>
          <cell r="C326" t="str">
            <v>Staff Gifts</v>
          </cell>
          <cell r="D326">
            <v>1</v>
          </cell>
          <cell r="E326">
            <v>2</v>
          </cell>
          <cell r="F326">
            <v>0</v>
          </cell>
          <cell r="G326" t="str">
            <v>6880</v>
          </cell>
          <cell r="H326" t="str">
            <v>Dr</v>
          </cell>
          <cell r="I326" t="str">
            <v>Yes</v>
          </cell>
          <cell r="J326" t="str">
            <v>Never</v>
          </cell>
          <cell r="K326" t="str">
            <v>Staff Cost</v>
          </cell>
        </row>
        <row r="327">
          <cell r="B327">
            <v>6850</v>
          </cell>
          <cell r="C327" t="str">
            <v>Subscriptions &amp; Memberships - Staff/Corp</v>
          </cell>
          <cell r="D327">
            <v>1</v>
          </cell>
          <cell r="E327">
            <v>2</v>
          </cell>
          <cell r="F327">
            <v>0</v>
          </cell>
          <cell r="G327" t="str">
            <v>6880</v>
          </cell>
          <cell r="H327" t="str">
            <v>Dr</v>
          </cell>
          <cell r="I327" t="str">
            <v>Yes</v>
          </cell>
          <cell r="J327" t="str">
            <v>Never</v>
          </cell>
          <cell r="K327" t="str">
            <v>Staff Cost</v>
          </cell>
        </row>
        <row r="328">
          <cell r="B328">
            <v>6860</v>
          </cell>
          <cell r="C328" t="str">
            <v>Seminars &amp; Workshops</v>
          </cell>
          <cell r="D328">
            <v>1</v>
          </cell>
          <cell r="E328">
            <v>2</v>
          </cell>
          <cell r="F328">
            <v>0</v>
          </cell>
          <cell r="G328" t="str">
            <v>6880</v>
          </cell>
          <cell r="H328" t="str">
            <v>Dr</v>
          </cell>
          <cell r="I328" t="str">
            <v>Yes</v>
          </cell>
          <cell r="J328" t="str">
            <v>Never</v>
          </cell>
          <cell r="K328" t="str">
            <v>Staff Cost</v>
          </cell>
        </row>
        <row r="329">
          <cell r="B329">
            <v>6870</v>
          </cell>
          <cell r="C329" t="str">
            <v>Staff Training</v>
          </cell>
          <cell r="D329">
            <v>1</v>
          </cell>
          <cell r="E329">
            <v>2</v>
          </cell>
          <cell r="F329">
            <v>0</v>
          </cell>
          <cell r="G329" t="str">
            <v>6880</v>
          </cell>
          <cell r="H329" t="str">
            <v>Dr</v>
          </cell>
          <cell r="I329" t="str">
            <v>Yes</v>
          </cell>
          <cell r="J329" t="str">
            <v>Never</v>
          </cell>
          <cell r="K329" t="str">
            <v>Staff Cost</v>
          </cell>
        </row>
        <row r="330">
          <cell r="B330">
            <v>6832</v>
          </cell>
          <cell r="C330" t="str">
            <v>Payroll &amp; HR Consultants</v>
          </cell>
          <cell r="D330">
            <v>1</v>
          </cell>
          <cell r="E330">
            <v>2</v>
          </cell>
          <cell r="F330">
            <v>0</v>
          </cell>
          <cell r="G330" t="str">
            <v>6880</v>
          </cell>
          <cell r="H330" t="str">
            <v>Dr</v>
          </cell>
          <cell r="I330" t="str">
            <v>Yes</v>
          </cell>
          <cell r="J330" t="str">
            <v>Never</v>
          </cell>
          <cell r="K330" t="str">
            <v>Others</v>
          </cell>
        </row>
        <row r="331">
          <cell r="B331">
            <v>6833</v>
          </cell>
          <cell r="C331" t="str">
            <v>Outsourced Staffing</v>
          </cell>
          <cell r="D331">
            <v>1</v>
          </cell>
          <cell r="E331">
            <v>2</v>
          </cell>
          <cell r="F331">
            <v>0</v>
          </cell>
          <cell r="G331" t="str">
            <v>6880</v>
          </cell>
          <cell r="H331" t="str">
            <v>Dr</v>
          </cell>
          <cell r="I331" t="str">
            <v>Yes</v>
          </cell>
          <cell r="J331" t="str">
            <v>Never</v>
          </cell>
          <cell r="K331" t="str">
            <v>Others</v>
          </cell>
        </row>
        <row r="332">
          <cell r="B332">
            <v>6888</v>
          </cell>
          <cell r="C332" t="str">
            <v>Marketing (Omni Inc.)</v>
          </cell>
          <cell r="D332">
            <v>1</v>
          </cell>
          <cell r="E332">
            <v>2</v>
          </cell>
          <cell r="F332">
            <v>0</v>
          </cell>
          <cell r="G332" t="str">
            <v>6990</v>
          </cell>
          <cell r="H332" t="str">
            <v>Dr</v>
          </cell>
          <cell r="I332" t="str">
            <v>Yes</v>
          </cell>
          <cell r="J332" t="str">
            <v>Never</v>
          </cell>
          <cell r="K332" t="str">
            <v>General Administrative</v>
          </cell>
        </row>
        <row r="333">
          <cell r="B333">
            <v>6899</v>
          </cell>
          <cell r="C333" t="str">
            <v>Stock Loss / Gain</v>
          </cell>
          <cell r="D333">
            <v>1</v>
          </cell>
          <cell r="E333">
            <v>2</v>
          </cell>
          <cell r="F333">
            <v>0</v>
          </cell>
          <cell r="G333" t="str">
            <v>6990</v>
          </cell>
          <cell r="H333" t="str">
            <v>Dr</v>
          </cell>
          <cell r="I333" t="str">
            <v>Yes</v>
          </cell>
          <cell r="J333" t="str">
            <v>Never</v>
          </cell>
          <cell r="K333" t="str">
            <v>General Administrative</v>
          </cell>
        </row>
        <row r="334">
          <cell r="B334">
            <v>6913</v>
          </cell>
          <cell r="C334" t="str">
            <v>Travel Allowance - Corporate</v>
          </cell>
          <cell r="D334">
            <v>1</v>
          </cell>
          <cell r="E334">
            <v>1</v>
          </cell>
          <cell r="F334">
            <v>0</v>
          </cell>
          <cell r="G334" t="str">
            <v>6918</v>
          </cell>
          <cell r="H334" t="str">
            <v>Dr</v>
          </cell>
          <cell r="I334" t="str">
            <v>Yes</v>
          </cell>
          <cell r="J334" t="str">
            <v>Never</v>
          </cell>
          <cell r="K334" t="str">
            <v>General Administrative</v>
          </cell>
        </row>
        <row r="335">
          <cell r="B335">
            <v>6916</v>
          </cell>
          <cell r="C335" t="str">
            <v>Travel Allowance - Sales</v>
          </cell>
          <cell r="D335">
            <v>1</v>
          </cell>
          <cell r="E335">
            <v>1</v>
          </cell>
          <cell r="F335">
            <v>0</v>
          </cell>
          <cell r="G335" t="str">
            <v>6928</v>
          </cell>
          <cell r="H335" t="str">
            <v>Dr</v>
          </cell>
          <cell r="I335" t="str">
            <v>Yes</v>
          </cell>
          <cell r="J335" t="str">
            <v>Never</v>
          </cell>
          <cell r="K335" t="str">
            <v>General Administrative</v>
          </cell>
        </row>
        <row r="336">
          <cell r="B336">
            <v>6917</v>
          </cell>
          <cell r="C336" t="str">
            <v xml:space="preserve">  Travel Allowance - Engineering</v>
          </cell>
          <cell r="D336">
            <v>1</v>
          </cell>
          <cell r="E336">
            <v>1</v>
          </cell>
          <cell r="F336">
            <v>0</v>
          </cell>
          <cell r="G336" t="str">
            <v>6950</v>
          </cell>
          <cell r="H336" t="str">
            <v>Dr</v>
          </cell>
          <cell r="I336" t="str">
            <v>Yes</v>
          </cell>
          <cell r="J336" t="str">
            <v>Never</v>
          </cell>
          <cell r="K336" t="str">
            <v>General Administrative</v>
          </cell>
        </row>
        <row r="337">
          <cell r="B337">
            <v>6923</v>
          </cell>
          <cell r="C337" t="str">
            <v>Flights &amp; Accommodation - Corporate</v>
          </cell>
          <cell r="D337">
            <v>1</v>
          </cell>
          <cell r="E337">
            <v>1</v>
          </cell>
          <cell r="F337">
            <v>0</v>
          </cell>
          <cell r="G337" t="str">
            <v>6918</v>
          </cell>
          <cell r="H337" t="str">
            <v>Dr</v>
          </cell>
          <cell r="I337" t="str">
            <v>Yes</v>
          </cell>
          <cell r="J337" t="str">
            <v>Never</v>
          </cell>
          <cell r="K337" t="str">
            <v>General Administrative</v>
          </cell>
        </row>
        <row r="338">
          <cell r="B338">
            <v>6926</v>
          </cell>
          <cell r="C338" t="str">
            <v>Flights &amp; Accommodation - Sales</v>
          </cell>
          <cell r="D338">
            <v>1</v>
          </cell>
          <cell r="E338">
            <v>1</v>
          </cell>
          <cell r="F338">
            <v>0</v>
          </cell>
          <cell r="G338" t="str">
            <v>6928</v>
          </cell>
          <cell r="H338" t="str">
            <v>Dr</v>
          </cell>
          <cell r="I338" t="str">
            <v>Yes</v>
          </cell>
          <cell r="J338" t="str">
            <v>Never</v>
          </cell>
          <cell r="K338" t="str">
            <v>General Administrative</v>
          </cell>
        </row>
        <row r="339">
          <cell r="B339">
            <v>6927</v>
          </cell>
          <cell r="C339" t="str">
            <v>Flights &amp; Accommodation - Engineering</v>
          </cell>
          <cell r="D339">
            <v>1</v>
          </cell>
          <cell r="E339">
            <v>1</v>
          </cell>
          <cell r="F339">
            <v>0</v>
          </cell>
          <cell r="G339" t="str">
            <v>6950</v>
          </cell>
          <cell r="H339" t="str">
            <v>Dr</v>
          </cell>
          <cell r="I339" t="str">
            <v>Yes</v>
          </cell>
          <cell r="J339" t="str">
            <v>Never</v>
          </cell>
          <cell r="K339" t="str">
            <v>General Administrative</v>
          </cell>
        </row>
        <row r="340">
          <cell r="B340">
            <v>6933</v>
          </cell>
          <cell r="C340" t="str">
            <v>Parking,Taxis and Car Hire - Corporate</v>
          </cell>
          <cell r="D340">
            <v>1</v>
          </cell>
          <cell r="E340">
            <v>1</v>
          </cell>
          <cell r="F340">
            <v>0</v>
          </cell>
          <cell r="G340" t="str">
            <v>6918</v>
          </cell>
          <cell r="H340" t="str">
            <v>Dr</v>
          </cell>
          <cell r="I340" t="str">
            <v>Yes</v>
          </cell>
          <cell r="J340" t="str">
            <v>Never</v>
          </cell>
          <cell r="K340" t="str">
            <v>General Administrative</v>
          </cell>
        </row>
        <row r="341">
          <cell r="B341">
            <v>6936</v>
          </cell>
          <cell r="C341" t="str">
            <v>Parking, Taxis and Car Hire - Sales</v>
          </cell>
          <cell r="D341">
            <v>1</v>
          </cell>
          <cell r="E341">
            <v>1</v>
          </cell>
          <cell r="F341">
            <v>0</v>
          </cell>
          <cell r="G341" t="str">
            <v>6928</v>
          </cell>
          <cell r="H341" t="str">
            <v>Dr</v>
          </cell>
          <cell r="I341" t="str">
            <v>Yes</v>
          </cell>
          <cell r="J341" t="str">
            <v>Never</v>
          </cell>
          <cell r="K341" t="str">
            <v>General Administrative</v>
          </cell>
        </row>
        <row r="342">
          <cell r="B342">
            <v>6937</v>
          </cell>
          <cell r="C342" t="str">
            <v>Parking,Taxis and Car Hire - Engineering</v>
          </cell>
          <cell r="D342">
            <v>1</v>
          </cell>
          <cell r="E342">
            <v>1</v>
          </cell>
          <cell r="F342">
            <v>0</v>
          </cell>
          <cell r="G342" t="str">
            <v>6950</v>
          </cell>
          <cell r="H342" t="str">
            <v>Dr</v>
          </cell>
          <cell r="I342" t="str">
            <v>Yes</v>
          </cell>
          <cell r="J342" t="str">
            <v>Never</v>
          </cell>
          <cell r="K342" t="str">
            <v>General Administrative</v>
          </cell>
        </row>
        <row r="343">
          <cell r="B343">
            <v>6943</v>
          </cell>
          <cell r="C343" t="str">
            <v>Travel meals - Corporate</v>
          </cell>
          <cell r="D343">
            <v>1</v>
          </cell>
          <cell r="E343">
            <v>1</v>
          </cell>
          <cell r="F343">
            <v>0</v>
          </cell>
          <cell r="G343" t="str">
            <v>6918</v>
          </cell>
          <cell r="H343" t="str">
            <v>Dr</v>
          </cell>
          <cell r="I343" t="str">
            <v>Yes</v>
          </cell>
          <cell r="J343" t="str">
            <v>Never</v>
          </cell>
          <cell r="K343" t="str">
            <v>General Administrative</v>
          </cell>
        </row>
        <row r="344">
          <cell r="B344">
            <v>6946</v>
          </cell>
          <cell r="C344" t="str">
            <v>Travel Meals - Sales</v>
          </cell>
          <cell r="D344">
            <v>1</v>
          </cell>
          <cell r="E344">
            <v>1</v>
          </cell>
          <cell r="F344">
            <v>0</v>
          </cell>
          <cell r="G344" t="str">
            <v>6928</v>
          </cell>
          <cell r="H344" t="str">
            <v>Dr</v>
          </cell>
          <cell r="I344" t="str">
            <v>Yes</v>
          </cell>
          <cell r="J344" t="str">
            <v>Never</v>
          </cell>
          <cell r="K344" t="str">
            <v>Taxes</v>
          </cell>
        </row>
        <row r="345">
          <cell r="B345">
            <v>6949</v>
          </cell>
          <cell r="C345" t="str">
            <v>Travel Meals - Engineering</v>
          </cell>
          <cell r="D345">
            <v>1</v>
          </cell>
          <cell r="E345">
            <v>1</v>
          </cell>
          <cell r="F345">
            <v>0</v>
          </cell>
          <cell r="G345" t="str">
            <v>6950</v>
          </cell>
          <cell r="H345" t="str">
            <v>Dr</v>
          </cell>
          <cell r="I345" t="str">
            <v>Yes</v>
          </cell>
          <cell r="J345" t="str">
            <v>Never</v>
          </cell>
          <cell r="K345" t="str">
            <v>Retained Earnings</v>
          </cell>
        </row>
        <row r="346">
          <cell r="B346">
            <v>7020</v>
          </cell>
          <cell r="C346" t="str">
            <v>Less Income Tax Expense</v>
          </cell>
          <cell r="D346">
            <v>1</v>
          </cell>
          <cell r="E346">
            <v>2</v>
          </cell>
          <cell r="F346">
            <v>0</v>
          </cell>
          <cell r="G346" t="str">
            <v>7030</v>
          </cell>
          <cell r="H346" t="str">
            <v>Cr</v>
          </cell>
          <cell r="I346" t="str">
            <v>Yes</v>
          </cell>
          <cell r="J346" t="str">
            <v>Never</v>
          </cell>
        </row>
        <row r="347">
          <cell r="B347">
            <v>7040</v>
          </cell>
          <cell r="C347" t="str">
            <v>Profit B/Fwd</v>
          </cell>
          <cell r="D347">
            <v>1</v>
          </cell>
          <cell r="E347">
            <v>2</v>
          </cell>
          <cell r="F347">
            <v>0</v>
          </cell>
          <cell r="G347" t="str">
            <v>7050</v>
          </cell>
          <cell r="H347" t="str">
            <v>Cr</v>
          </cell>
          <cell r="I347" t="str">
            <v>Yes</v>
          </cell>
          <cell r="J347" t="str">
            <v>Never</v>
          </cell>
        </row>
      </sheetData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995E-06DA-493A-8FCD-E42892D3F367}">
  <sheetPr>
    <tabColor rgb="FF00B0F0"/>
  </sheetPr>
  <dimension ref="A1:CK538"/>
  <sheetViews>
    <sheetView showGridLines="0" tabSelected="1" zoomScale="106" zoomScaleNormal="106" workbookViewId="0">
      <pane xSplit="3" ySplit="3" topLeftCell="D4" activePane="bottomRight" state="frozen"/>
      <selection pane="topRight" activeCell="C1" sqref="C1"/>
      <selection pane="bottomLeft" activeCell="A5" sqref="A5"/>
      <selection pane="bottomRight" activeCell="C9" sqref="C9"/>
    </sheetView>
  </sheetViews>
  <sheetFormatPr defaultRowHeight="13.8" outlineLevelRow="2" outlineLevelCol="1"/>
  <cols>
    <col min="1" max="1" width="5" style="1" customWidth="1"/>
    <col min="2" max="2" width="9" style="1" customWidth="1"/>
    <col min="3" max="3" width="54.33203125" style="1" customWidth="1"/>
    <col min="4" max="4" width="18.44140625" style="1" customWidth="1"/>
    <col min="5" max="5" width="16.6640625" style="1" customWidth="1"/>
    <col min="6" max="6" width="13.44140625" style="1" customWidth="1"/>
    <col min="7" max="9" width="12.88671875" style="1" customWidth="1"/>
    <col min="10" max="12" width="13.5546875" style="1" customWidth="1"/>
    <col min="13" max="16" width="13.6640625" style="1" customWidth="1"/>
    <col min="17" max="17" width="14.33203125" style="1" customWidth="1"/>
    <col min="18" max="18" width="13.33203125" style="1" bestFit="1" customWidth="1"/>
    <col min="19" max="19" width="32.6640625" style="1" customWidth="1"/>
    <col min="20" max="21" width="25.44140625" style="1" customWidth="1"/>
    <col min="22" max="22" width="29.88671875" style="1" customWidth="1" outlineLevel="1"/>
    <col min="23" max="23" width="24.5546875" style="1" customWidth="1" outlineLevel="1"/>
    <col min="24" max="24" width="20.5546875" style="1" customWidth="1"/>
    <col min="25" max="232" width="8.88671875" style="1"/>
    <col min="233" max="233" width="37" style="1" bestFit="1" customWidth="1"/>
    <col min="234" max="234" width="13.5546875" style="1" bestFit="1" customWidth="1"/>
    <col min="235" max="246" width="11.88671875" style="1" bestFit="1" customWidth="1"/>
    <col min="247" max="247" width="13.109375" style="1" bestFit="1" customWidth="1"/>
    <col min="248" max="488" width="8.88671875" style="1"/>
    <col min="489" max="489" width="37" style="1" bestFit="1" customWidth="1"/>
    <col min="490" max="490" width="13.5546875" style="1" bestFit="1" customWidth="1"/>
    <col min="491" max="502" width="11.88671875" style="1" bestFit="1" customWidth="1"/>
    <col min="503" max="503" width="13.109375" style="1" bestFit="1" customWidth="1"/>
    <col min="504" max="744" width="8.88671875" style="1"/>
    <col min="745" max="745" width="37" style="1" bestFit="1" customWidth="1"/>
    <col min="746" max="746" width="13.5546875" style="1" bestFit="1" customWidth="1"/>
    <col min="747" max="758" width="11.88671875" style="1" bestFit="1" customWidth="1"/>
    <col min="759" max="759" width="13.109375" style="1" bestFit="1" customWidth="1"/>
    <col min="760" max="1000" width="8.88671875" style="1"/>
    <col min="1001" max="1001" width="37" style="1" bestFit="1" customWidth="1"/>
    <col min="1002" max="1002" width="13.5546875" style="1" bestFit="1" customWidth="1"/>
    <col min="1003" max="1014" width="11.88671875" style="1" bestFit="1" customWidth="1"/>
    <col min="1015" max="1015" width="13.109375" style="1" bestFit="1" customWidth="1"/>
    <col min="1016" max="1256" width="8.88671875" style="1"/>
    <col min="1257" max="1257" width="37" style="1" bestFit="1" customWidth="1"/>
    <col min="1258" max="1258" width="13.5546875" style="1" bestFit="1" customWidth="1"/>
    <col min="1259" max="1270" width="11.88671875" style="1" bestFit="1" customWidth="1"/>
    <col min="1271" max="1271" width="13.109375" style="1" bestFit="1" customWidth="1"/>
    <col min="1272" max="1512" width="8.88671875" style="1"/>
    <col min="1513" max="1513" width="37" style="1" bestFit="1" customWidth="1"/>
    <col min="1514" max="1514" width="13.5546875" style="1" bestFit="1" customWidth="1"/>
    <col min="1515" max="1526" width="11.88671875" style="1" bestFit="1" customWidth="1"/>
    <col min="1527" max="1527" width="13.109375" style="1" bestFit="1" customWidth="1"/>
    <col min="1528" max="1768" width="8.88671875" style="1"/>
    <col min="1769" max="1769" width="37" style="1" bestFit="1" customWidth="1"/>
    <col min="1770" max="1770" width="13.5546875" style="1" bestFit="1" customWidth="1"/>
    <col min="1771" max="1782" width="11.88671875" style="1" bestFit="1" customWidth="1"/>
    <col min="1783" max="1783" width="13.109375" style="1" bestFit="1" customWidth="1"/>
    <col min="1784" max="2024" width="8.88671875" style="1"/>
    <col min="2025" max="2025" width="37" style="1" bestFit="1" customWidth="1"/>
    <col min="2026" max="2026" width="13.5546875" style="1" bestFit="1" customWidth="1"/>
    <col min="2027" max="2038" width="11.88671875" style="1" bestFit="1" customWidth="1"/>
    <col min="2039" max="2039" width="13.109375" style="1" bestFit="1" customWidth="1"/>
    <col min="2040" max="2280" width="8.88671875" style="1"/>
    <col min="2281" max="2281" width="37" style="1" bestFit="1" customWidth="1"/>
    <col min="2282" max="2282" width="13.5546875" style="1" bestFit="1" customWidth="1"/>
    <col min="2283" max="2294" width="11.88671875" style="1" bestFit="1" customWidth="1"/>
    <col min="2295" max="2295" width="13.109375" style="1" bestFit="1" customWidth="1"/>
    <col min="2296" max="2536" width="8.88671875" style="1"/>
    <col min="2537" max="2537" width="37" style="1" bestFit="1" customWidth="1"/>
    <col min="2538" max="2538" width="13.5546875" style="1" bestFit="1" customWidth="1"/>
    <col min="2539" max="2550" width="11.88671875" style="1" bestFit="1" customWidth="1"/>
    <col min="2551" max="2551" width="13.109375" style="1" bestFit="1" customWidth="1"/>
    <col min="2552" max="2792" width="8.88671875" style="1"/>
    <col min="2793" max="2793" width="37" style="1" bestFit="1" customWidth="1"/>
    <col min="2794" max="2794" width="13.5546875" style="1" bestFit="1" customWidth="1"/>
    <col min="2795" max="2806" width="11.88671875" style="1" bestFit="1" customWidth="1"/>
    <col min="2807" max="2807" width="13.109375" style="1" bestFit="1" customWidth="1"/>
    <col min="2808" max="3048" width="8.88671875" style="1"/>
    <col min="3049" max="3049" width="37" style="1" bestFit="1" customWidth="1"/>
    <col min="3050" max="3050" width="13.5546875" style="1" bestFit="1" customWidth="1"/>
    <col min="3051" max="3062" width="11.88671875" style="1" bestFit="1" customWidth="1"/>
    <col min="3063" max="3063" width="13.109375" style="1" bestFit="1" customWidth="1"/>
    <col min="3064" max="3304" width="8.88671875" style="1"/>
    <col min="3305" max="3305" width="37" style="1" bestFit="1" customWidth="1"/>
    <col min="3306" max="3306" width="13.5546875" style="1" bestFit="1" customWidth="1"/>
    <col min="3307" max="3318" width="11.88671875" style="1" bestFit="1" customWidth="1"/>
    <col min="3319" max="3319" width="13.109375" style="1" bestFit="1" customWidth="1"/>
    <col min="3320" max="3560" width="8.88671875" style="1"/>
    <col min="3561" max="3561" width="37" style="1" bestFit="1" customWidth="1"/>
    <col min="3562" max="3562" width="13.5546875" style="1" bestFit="1" customWidth="1"/>
    <col min="3563" max="3574" width="11.88671875" style="1" bestFit="1" customWidth="1"/>
    <col min="3575" max="3575" width="13.109375" style="1" bestFit="1" customWidth="1"/>
    <col min="3576" max="3816" width="8.88671875" style="1"/>
    <col min="3817" max="3817" width="37" style="1" bestFit="1" customWidth="1"/>
    <col min="3818" max="3818" width="13.5546875" style="1" bestFit="1" customWidth="1"/>
    <col min="3819" max="3830" width="11.88671875" style="1" bestFit="1" customWidth="1"/>
    <col min="3831" max="3831" width="13.109375" style="1" bestFit="1" customWidth="1"/>
    <col min="3832" max="4072" width="8.88671875" style="1"/>
    <col min="4073" max="4073" width="37" style="1" bestFit="1" customWidth="1"/>
    <col min="4074" max="4074" width="13.5546875" style="1" bestFit="1" customWidth="1"/>
    <col min="4075" max="4086" width="11.88671875" style="1" bestFit="1" customWidth="1"/>
    <col min="4087" max="4087" width="13.109375" style="1" bestFit="1" customWidth="1"/>
    <col min="4088" max="4328" width="8.88671875" style="1"/>
    <col min="4329" max="4329" width="37" style="1" bestFit="1" customWidth="1"/>
    <col min="4330" max="4330" width="13.5546875" style="1" bestFit="1" customWidth="1"/>
    <col min="4331" max="4342" width="11.88671875" style="1" bestFit="1" customWidth="1"/>
    <col min="4343" max="4343" width="13.109375" style="1" bestFit="1" customWidth="1"/>
    <col min="4344" max="4584" width="8.88671875" style="1"/>
    <col min="4585" max="4585" width="37" style="1" bestFit="1" customWidth="1"/>
    <col min="4586" max="4586" width="13.5546875" style="1" bestFit="1" customWidth="1"/>
    <col min="4587" max="4598" width="11.88671875" style="1" bestFit="1" customWidth="1"/>
    <col min="4599" max="4599" width="13.109375" style="1" bestFit="1" customWidth="1"/>
    <col min="4600" max="4840" width="8.88671875" style="1"/>
    <col min="4841" max="4841" width="37" style="1" bestFit="1" customWidth="1"/>
    <col min="4842" max="4842" width="13.5546875" style="1" bestFit="1" customWidth="1"/>
    <col min="4843" max="4854" width="11.88671875" style="1" bestFit="1" customWidth="1"/>
    <col min="4855" max="4855" width="13.109375" style="1" bestFit="1" customWidth="1"/>
    <col min="4856" max="5096" width="8.88671875" style="1"/>
    <col min="5097" max="5097" width="37" style="1" bestFit="1" customWidth="1"/>
    <col min="5098" max="5098" width="13.5546875" style="1" bestFit="1" customWidth="1"/>
    <col min="5099" max="5110" width="11.88671875" style="1" bestFit="1" customWidth="1"/>
    <col min="5111" max="5111" width="13.109375" style="1" bestFit="1" customWidth="1"/>
    <col min="5112" max="5352" width="8.88671875" style="1"/>
    <col min="5353" max="5353" width="37" style="1" bestFit="1" customWidth="1"/>
    <col min="5354" max="5354" width="13.5546875" style="1" bestFit="1" customWidth="1"/>
    <col min="5355" max="5366" width="11.88671875" style="1" bestFit="1" customWidth="1"/>
    <col min="5367" max="5367" width="13.109375" style="1" bestFit="1" customWidth="1"/>
    <col min="5368" max="5608" width="8.88671875" style="1"/>
    <col min="5609" max="5609" width="37" style="1" bestFit="1" customWidth="1"/>
    <col min="5610" max="5610" width="13.5546875" style="1" bestFit="1" customWidth="1"/>
    <col min="5611" max="5622" width="11.88671875" style="1" bestFit="1" customWidth="1"/>
    <col min="5623" max="5623" width="13.109375" style="1" bestFit="1" customWidth="1"/>
    <col min="5624" max="5864" width="8.88671875" style="1"/>
    <col min="5865" max="5865" width="37" style="1" bestFit="1" customWidth="1"/>
    <col min="5866" max="5866" width="13.5546875" style="1" bestFit="1" customWidth="1"/>
    <col min="5867" max="5878" width="11.88671875" style="1" bestFit="1" customWidth="1"/>
    <col min="5879" max="5879" width="13.109375" style="1" bestFit="1" customWidth="1"/>
    <col min="5880" max="6120" width="8.88671875" style="1"/>
    <col min="6121" max="6121" width="37" style="1" bestFit="1" customWidth="1"/>
    <col min="6122" max="6122" width="13.5546875" style="1" bestFit="1" customWidth="1"/>
    <col min="6123" max="6134" width="11.88671875" style="1" bestFit="1" customWidth="1"/>
    <col min="6135" max="6135" width="13.109375" style="1" bestFit="1" customWidth="1"/>
    <col min="6136" max="6376" width="8.88671875" style="1"/>
    <col min="6377" max="6377" width="37" style="1" bestFit="1" customWidth="1"/>
    <col min="6378" max="6378" width="13.5546875" style="1" bestFit="1" customWidth="1"/>
    <col min="6379" max="6390" width="11.88671875" style="1" bestFit="1" customWidth="1"/>
    <col min="6391" max="6391" width="13.109375" style="1" bestFit="1" customWidth="1"/>
    <col min="6392" max="6632" width="8.88671875" style="1"/>
    <col min="6633" max="6633" width="37" style="1" bestFit="1" customWidth="1"/>
    <col min="6634" max="6634" width="13.5546875" style="1" bestFit="1" customWidth="1"/>
    <col min="6635" max="6646" width="11.88671875" style="1" bestFit="1" customWidth="1"/>
    <col min="6647" max="6647" width="13.109375" style="1" bestFit="1" customWidth="1"/>
    <col min="6648" max="6888" width="8.88671875" style="1"/>
    <col min="6889" max="6889" width="37" style="1" bestFit="1" customWidth="1"/>
    <col min="6890" max="6890" width="13.5546875" style="1" bestFit="1" customWidth="1"/>
    <col min="6891" max="6902" width="11.88671875" style="1" bestFit="1" customWidth="1"/>
    <col min="6903" max="6903" width="13.109375" style="1" bestFit="1" customWidth="1"/>
    <col min="6904" max="7144" width="8.88671875" style="1"/>
    <col min="7145" max="7145" width="37" style="1" bestFit="1" customWidth="1"/>
    <col min="7146" max="7146" width="13.5546875" style="1" bestFit="1" customWidth="1"/>
    <col min="7147" max="7158" width="11.88671875" style="1" bestFit="1" customWidth="1"/>
    <col min="7159" max="7159" width="13.109375" style="1" bestFit="1" customWidth="1"/>
    <col min="7160" max="7400" width="8.88671875" style="1"/>
    <col min="7401" max="7401" width="37" style="1" bestFit="1" customWidth="1"/>
    <col min="7402" max="7402" width="13.5546875" style="1" bestFit="1" customWidth="1"/>
    <col min="7403" max="7414" width="11.88671875" style="1" bestFit="1" customWidth="1"/>
    <col min="7415" max="7415" width="13.109375" style="1" bestFit="1" customWidth="1"/>
    <col min="7416" max="7656" width="8.88671875" style="1"/>
    <col min="7657" max="7657" width="37" style="1" bestFit="1" customWidth="1"/>
    <col min="7658" max="7658" width="13.5546875" style="1" bestFit="1" customWidth="1"/>
    <col min="7659" max="7670" width="11.88671875" style="1" bestFit="1" customWidth="1"/>
    <col min="7671" max="7671" width="13.109375" style="1" bestFit="1" customWidth="1"/>
    <col min="7672" max="7912" width="8.88671875" style="1"/>
    <col min="7913" max="7913" width="37" style="1" bestFit="1" customWidth="1"/>
    <col min="7914" max="7914" width="13.5546875" style="1" bestFit="1" customWidth="1"/>
    <col min="7915" max="7926" width="11.88671875" style="1" bestFit="1" customWidth="1"/>
    <col min="7927" max="7927" width="13.109375" style="1" bestFit="1" customWidth="1"/>
    <col min="7928" max="8168" width="8.88671875" style="1"/>
    <col min="8169" max="8169" width="37" style="1" bestFit="1" customWidth="1"/>
    <col min="8170" max="8170" width="13.5546875" style="1" bestFit="1" customWidth="1"/>
    <col min="8171" max="8182" width="11.88671875" style="1" bestFit="1" customWidth="1"/>
    <col min="8183" max="8183" width="13.109375" style="1" bestFit="1" customWidth="1"/>
    <col min="8184" max="8424" width="8.88671875" style="1"/>
    <col min="8425" max="8425" width="37" style="1" bestFit="1" customWidth="1"/>
    <col min="8426" max="8426" width="13.5546875" style="1" bestFit="1" customWidth="1"/>
    <col min="8427" max="8438" width="11.88671875" style="1" bestFit="1" customWidth="1"/>
    <col min="8439" max="8439" width="13.109375" style="1" bestFit="1" customWidth="1"/>
    <col min="8440" max="8680" width="8.88671875" style="1"/>
    <col min="8681" max="8681" width="37" style="1" bestFit="1" customWidth="1"/>
    <col min="8682" max="8682" width="13.5546875" style="1" bestFit="1" customWidth="1"/>
    <col min="8683" max="8694" width="11.88671875" style="1" bestFit="1" customWidth="1"/>
    <col min="8695" max="8695" width="13.109375" style="1" bestFit="1" customWidth="1"/>
    <col min="8696" max="8936" width="8.88671875" style="1"/>
    <col min="8937" max="8937" width="37" style="1" bestFit="1" customWidth="1"/>
    <col min="8938" max="8938" width="13.5546875" style="1" bestFit="1" customWidth="1"/>
    <col min="8939" max="8950" width="11.88671875" style="1" bestFit="1" customWidth="1"/>
    <col min="8951" max="8951" width="13.109375" style="1" bestFit="1" customWidth="1"/>
    <col min="8952" max="9192" width="8.88671875" style="1"/>
    <col min="9193" max="9193" width="37" style="1" bestFit="1" customWidth="1"/>
    <col min="9194" max="9194" width="13.5546875" style="1" bestFit="1" customWidth="1"/>
    <col min="9195" max="9206" width="11.88671875" style="1" bestFit="1" customWidth="1"/>
    <col min="9207" max="9207" width="13.109375" style="1" bestFit="1" customWidth="1"/>
    <col min="9208" max="9448" width="8.88671875" style="1"/>
    <col min="9449" max="9449" width="37" style="1" bestFit="1" customWidth="1"/>
    <col min="9450" max="9450" width="13.5546875" style="1" bestFit="1" customWidth="1"/>
    <col min="9451" max="9462" width="11.88671875" style="1" bestFit="1" customWidth="1"/>
    <col min="9463" max="9463" width="13.109375" style="1" bestFit="1" customWidth="1"/>
    <col min="9464" max="9704" width="8.88671875" style="1"/>
    <col min="9705" max="9705" width="37" style="1" bestFit="1" customWidth="1"/>
    <col min="9706" max="9706" width="13.5546875" style="1" bestFit="1" customWidth="1"/>
    <col min="9707" max="9718" width="11.88671875" style="1" bestFit="1" customWidth="1"/>
    <col min="9719" max="9719" width="13.109375" style="1" bestFit="1" customWidth="1"/>
    <col min="9720" max="9960" width="8.88671875" style="1"/>
    <col min="9961" max="9961" width="37" style="1" bestFit="1" customWidth="1"/>
    <col min="9962" max="9962" width="13.5546875" style="1" bestFit="1" customWidth="1"/>
    <col min="9963" max="9974" width="11.88671875" style="1" bestFit="1" customWidth="1"/>
    <col min="9975" max="9975" width="13.109375" style="1" bestFit="1" customWidth="1"/>
    <col min="9976" max="10216" width="8.88671875" style="1"/>
    <col min="10217" max="10217" width="37" style="1" bestFit="1" customWidth="1"/>
    <col min="10218" max="10218" width="13.5546875" style="1" bestFit="1" customWidth="1"/>
    <col min="10219" max="10230" width="11.88671875" style="1" bestFit="1" customWidth="1"/>
    <col min="10231" max="10231" width="13.109375" style="1" bestFit="1" customWidth="1"/>
    <col min="10232" max="10472" width="8.88671875" style="1"/>
    <col min="10473" max="10473" width="37" style="1" bestFit="1" customWidth="1"/>
    <col min="10474" max="10474" width="13.5546875" style="1" bestFit="1" customWidth="1"/>
    <col min="10475" max="10486" width="11.88671875" style="1" bestFit="1" customWidth="1"/>
    <col min="10487" max="10487" width="13.109375" style="1" bestFit="1" customWidth="1"/>
    <col min="10488" max="10728" width="8.88671875" style="1"/>
    <col min="10729" max="10729" width="37" style="1" bestFit="1" customWidth="1"/>
    <col min="10730" max="10730" width="13.5546875" style="1" bestFit="1" customWidth="1"/>
    <col min="10731" max="10742" width="11.88671875" style="1" bestFit="1" customWidth="1"/>
    <col min="10743" max="10743" width="13.109375" style="1" bestFit="1" customWidth="1"/>
    <col min="10744" max="10984" width="8.88671875" style="1"/>
    <col min="10985" max="10985" width="37" style="1" bestFit="1" customWidth="1"/>
    <col min="10986" max="10986" width="13.5546875" style="1" bestFit="1" customWidth="1"/>
    <col min="10987" max="10998" width="11.88671875" style="1" bestFit="1" customWidth="1"/>
    <col min="10999" max="10999" width="13.109375" style="1" bestFit="1" customWidth="1"/>
    <col min="11000" max="11240" width="8.88671875" style="1"/>
    <col min="11241" max="11241" width="37" style="1" bestFit="1" customWidth="1"/>
    <col min="11242" max="11242" width="13.5546875" style="1" bestFit="1" customWidth="1"/>
    <col min="11243" max="11254" width="11.88671875" style="1" bestFit="1" customWidth="1"/>
    <col min="11255" max="11255" width="13.109375" style="1" bestFit="1" customWidth="1"/>
    <col min="11256" max="11496" width="8.88671875" style="1"/>
    <col min="11497" max="11497" width="37" style="1" bestFit="1" customWidth="1"/>
    <col min="11498" max="11498" width="13.5546875" style="1" bestFit="1" customWidth="1"/>
    <col min="11499" max="11510" width="11.88671875" style="1" bestFit="1" customWidth="1"/>
    <col min="11511" max="11511" width="13.109375" style="1" bestFit="1" customWidth="1"/>
    <col min="11512" max="11752" width="8.88671875" style="1"/>
    <col min="11753" max="11753" width="37" style="1" bestFit="1" customWidth="1"/>
    <col min="11754" max="11754" width="13.5546875" style="1" bestFit="1" customWidth="1"/>
    <col min="11755" max="11766" width="11.88671875" style="1" bestFit="1" customWidth="1"/>
    <col min="11767" max="11767" width="13.109375" style="1" bestFit="1" customWidth="1"/>
    <col min="11768" max="12008" width="8.88671875" style="1"/>
    <col min="12009" max="12009" width="37" style="1" bestFit="1" customWidth="1"/>
    <col min="12010" max="12010" width="13.5546875" style="1" bestFit="1" customWidth="1"/>
    <col min="12011" max="12022" width="11.88671875" style="1" bestFit="1" customWidth="1"/>
    <col min="12023" max="12023" width="13.109375" style="1" bestFit="1" customWidth="1"/>
    <col min="12024" max="12264" width="8.88671875" style="1"/>
    <col min="12265" max="12265" width="37" style="1" bestFit="1" customWidth="1"/>
    <col min="12266" max="12266" width="13.5546875" style="1" bestFit="1" customWidth="1"/>
    <col min="12267" max="12278" width="11.88671875" style="1" bestFit="1" customWidth="1"/>
    <col min="12279" max="12279" width="13.109375" style="1" bestFit="1" customWidth="1"/>
    <col min="12280" max="12520" width="8.88671875" style="1"/>
    <col min="12521" max="12521" width="37" style="1" bestFit="1" customWidth="1"/>
    <col min="12522" max="12522" width="13.5546875" style="1" bestFit="1" customWidth="1"/>
    <col min="12523" max="12534" width="11.88671875" style="1" bestFit="1" customWidth="1"/>
    <col min="12535" max="12535" width="13.109375" style="1" bestFit="1" customWidth="1"/>
    <col min="12536" max="12776" width="8.88671875" style="1"/>
    <col min="12777" max="12777" width="37" style="1" bestFit="1" customWidth="1"/>
    <col min="12778" max="12778" width="13.5546875" style="1" bestFit="1" customWidth="1"/>
    <col min="12779" max="12790" width="11.88671875" style="1" bestFit="1" customWidth="1"/>
    <col min="12791" max="12791" width="13.109375" style="1" bestFit="1" customWidth="1"/>
    <col min="12792" max="13032" width="8.88671875" style="1"/>
    <col min="13033" max="13033" width="37" style="1" bestFit="1" customWidth="1"/>
    <col min="13034" max="13034" width="13.5546875" style="1" bestFit="1" customWidth="1"/>
    <col min="13035" max="13046" width="11.88671875" style="1" bestFit="1" customWidth="1"/>
    <col min="13047" max="13047" width="13.109375" style="1" bestFit="1" customWidth="1"/>
    <col min="13048" max="13288" width="8.88671875" style="1"/>
    <col min="13289" max="13289" width="37" style="1" bestFit="1" customWidth="1"/>
    <col min="13290" max="13290" width="13.5546875" style="1" bestFit="1" customWidth="1"/>
    <col min="13291" max="13302" width="11.88671875" style="1" bestFit="1" customWidth="1"/>
    <col min="13303" max="13303" width="13.109375" style="1" bestFit="1" customWidth="1"/>
    <col min="13304" max="13544" width="8.88671875" style="1"/>
    <col min="13545" max="13545" width="37" style="1" bestFit="1" customWidth="1"/>
    <col min="13546" max="13546" width="13.5546875" style="1" bestFit="1" customWidth="1"/>
    <col min="13547" max="13558" width="11.88671875" style="1" bestFit="1" customWidth="1"/>
    <col min="13559" max="13559" width="13.109375" style="1" bestFit="1" customWidth="1"/>
    <col min="13560" max="13800" width="8.88671875" style="1"/>
    <col min="13801" max="13801" width="37" style="1" bestFit="1" customWidth="1"/>
    <col min="13802" max="13802" width="13.5546875" style="1" bestFit="1" customWidth="1"/>
    <col min="13803" max="13814" width="11.88671875" style="1" bestFit="1" customWidth="1"/>
    <col min="13815" max="13815" width="13.109375" style="1" bestFit="1" customWidth="1"/>
    <col min="13816" max="14056" width="8.88671875" style="1"/>
    <col min="14057" max="14057" width="37" style="1" bestFit="1" customWidth="1"/>
    <col min="14058" max="14058" width="13.5546875" style="1" bestFit="1" customWidth="1"/>
    <col min="14059" max="14070" width="11.88671875" style="1" bestFit="1" customWidth="1"/>
    <col min="14071" max="14071" width="13.109375" style="1" bestFit="1" customWidth="1"/>
    <col min="14072" max="14312" width="8.88671875" style="1"/>
    <col min="14313" max="14313" width="37" style="1" bestFit="1" customWidth="1"/>
    <col min="14314" max="14314" width="13.5546875" style="1" bestFit="1" customWidth="1"/>
    <col min="14315" max="14326" width="11.88671875" style="1" bestFit="1" customWidth="1"/>
    <col min="14327" max="14327" width="13.109375" style="1" bestFit="1" customWidth="1"/>
    <col min="14328" max="14568" width="8.88671875" style="1"/>
    <col min="14569" max="14569" width="37" style="1" bestFit="1" customWidth="1"/>
    <col min="14570" max="14570" width="13.5546875" style="1" bestFit="1" customWidth="1"/>
    <col min="14571" max="14582" width="11.88671875" style="1" bestFit="1" customWidth="1"/>
    <col min="14583" max="14583" width="13.109375" style="1" bestFit="1" customWidth="1"/>
    <col min="14584" max="14824" width="8.88671875" style="1"/>
    <col min="14825" max="14825" width="37" style="1" bestFit="1" customWidth="1"/>
    <col min="14826" max="14826" width="13.5546875" style="1" bestFit="1" customWidth="1"/>
    <col min="14827" max="14838" width="11.88671875" style="1" bestFit="1" customWidth="1"/>
    <col min="14839" max="14839" width="13.109375" style="1" bestFit="1" customWidth="1"/>
    <col min="14840" max="15080" width="8.88671875" style="1"/>
    <col min="15081" max="15081" width="37" style="1" bestFit="1" customWidth="1"/>
    <col min="15082" max="15082" width="13.5546875" style="1" bestFit="1" customWidth="1"/>
    <col min="15083" max="15094" width="11.88671875" style="1" bestFit="1" customWidth="1"/>
    <col min="15095" max="15095" width="13.109375" style="1" bestFit="1" customWidth="1"/>
    <col min="15096" max="15336" width="8.88671875" style="1"/>
    <col min="15337" max="15337" width="37" style="1" bestFit="1" customWidth="1"/>
    <col min="15338" max="15338" width="13.5546875" style="1" bestFit="1" customWidth="1"/>
    <col min="15339" max="15350" width="11.88671875" style="1" bestFit="1" customWidth="1"/>
    <col min="15351" max="15351" width="13.109375" style="1" bestFit="1" customWidth="1"/>
    <col min="15352" max="15592" width="8.88671875" style="1"/>
    <col min="15593" max="15593" width="37" style="1" bestFit="1" customWidth="1"/>
    <col min="15594" max="15594" width="13.5546875" style="1" bestFit="1" customWidth="1"/>
    <col min="15595" max="15606" width="11.88671875" style="1" bestFit="1" customWidth="1"/>
    <col min="15607" max="15607" width="13.109375" style="1" bestFit="1" customWidth="1"/>
    <col min="15608" max="15848" width="8.88671875" style="1"/>
    <col min="15849" max="15849" width="37" style="1" bestFit="1" customWidth="1"/>
    <col min="15850" max="15850" width="13.5546875" style="1" bestFit="1" customWidth="1"/>
    <col min="15851" max="15862" width="11.88671875" style="1" bestFit="1" customWidth="1"/>
    <col min="15863" max="15863" width="13.109375" style="1" bestFit="1" customWidth="1"/>
    <col min="15864" max="16104" width="8.88671875" style="1"/>
    <col min="16105" max="16105" width="37" style="1" bestFit="1" customWidth="1"/>
    <col min="16106" max="16106" width="13.5546875" style="1" bestFit="1" customWidth="1"/>
    <col min="16107" max="16118" width="11.88671875" style="1" bestFit="1" customWidth="1"/>
    <col min="16119" max="16119" width="13.109375" style="1" bestFit="1" customWidth="1"/>
    <col min="16120" max="16384" width="8.88671875" style="1"/>
  </cols>
  <sheetData>
    <row r="1" spans="1:24" ht="4.2" customHeight="1"/>
    <row r="2" spans="1:24">
      <c r="F2" s="3" t="e">
        <f>IF(#REF!&gt;=F3,"YTD","")</f>
        <v>#REF!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24" ht="21">
      <c r="A3" s="1" t="s">
        <v>0</v>
      </c>
      <c r="B3" s="1" t="s">
        <v>1</v>
      </c>
      <c r="C3" s="4" t="s">
        <v>2</v>
      </c>
      <c r="D3" s="7" t="s">
        <v>3</v>
      </c>
      <c r="E3" s="8" t="s">
        <v>4</v>
      </c>
      <c r="F3" s="6">
        <v>45839</v>
      </c>
      <c r="G3" s="6">
        <v>45870</v>
      </c>
      <c r="H3" s="6">
        <v>45901</v>
      </c>
      <c r="I3" s="6">
        <v>45931</v>
      </c>
      <c r="J3" s="6">
        <v>45962</v>
      </c>
      <c r="K3" s="6">
        <v>45992</v>
      </c>
      <c r="L3" s="6">
        <v>46023</v>
      </c>
      <c r="M3" s="6">
        <v>46054</v>
      </c>
      <c r="N3" s="6">
        <v>46082</v>
      </c>
      <c r="O3" s="6">
        <v>46113</v>
      </c>
      <c r="P3" s="6">
        <v>46143</v>
      </c>
      <c r="Q3" s="6">
        <v>46174</v>
      </c>
      <c r="R3" s="9" t="s">
        <v>5</v>
      </c>
      <c r="S3" s="9" t="s">
        <v>6</v>
      </c>
      <c r="T3" s="9" t="s">
        <v>7</v>
      </c>
      <c r="U3" s="9" t="s">
        <v>8</v>
      </c>
      <c r="V3" s="2" t="s">
        <v>9</v>
      </c>
      <c r="W3" s="1" t="s">
        <v>10</v>
      </c>
    </row>
    <row r="4" spans="1:24">
      <c r="A4" s="1" t="s">
        <v>11</v>
      </c>
      <c r="B4" s="10">
        <v>4000</v>
      </c>
      <c r="C4" s="10" t="s">
        <v>12</v>
      </c>
      <c r="D4" s="1" t="s">
        <v>14</v>
      </c>
      <c r="E4" s="11">
        <f>SUM(F4:Q4)</f>
        <v>5321060.5534555838</v>
      </c>
      <c r="F4" s="12">
        <v>443421.71278796531</v>
      </c>
      <c r="G4" s="12">
        <v>443421.71278796531</v>
      </c>
      <c r="H4" s="12">
        <v>443421.71278796531</v>
      </c>
      <c r="I4" s="12">
        <v>443421.71278796531</v>
      </c>
      <c r="J4" s="12">
        <v>443421.71278796531</v>
      </c>
      <c r="K4" s="12">
        <v>443421.71278796531</v>
      </c>
      <c r="L4" s="12">
        <v>443421.71278796531</v>
      </c>
      <c r="M4" s="12">
        <v>443421.71278796531</v>
      </c>
      <c r="N4" s="12">
        <v>443421.71278796531</v>
      </c>
      <c r="O4" s="12">
        <v>443421.71278796531</v>
      </c>
      <c r="P4" s="12">
        <v>443421.71278796531</v>
      </c>
      <c r="Q4" s="12">
        <v>443421.71278796531</v>
      </c>
      <c r="R4" s="1">
        <v>4032000</v>
      </c>
      <c r="S4" s="1" t="s">
        <v>15</v>
      </c>
      <c r="T4" s="1" t="s">
        <v>16</v>
      </c>
      <c r="U4" s="1" t="s">
        <v>13</v>
      </c>
      <c r="V4" s="1" t="s">
        <v>13</v>
      </c>
      <c r="W4" s="1">
        <v>0</v>
      </c>
      <c r="X4" s="14">
        <v>4032000</v>
      </c>
    </row>
    <row r="5" spans="1:24">
      <c r="A5" s="1" t="s">
        <v>11</v>
      </c>
      <c r="B5" s="10">
        <v>4010</v>
      </c>
      <c r="C5" s="10" t="s">
        <v>17</v>
      </c>
      <c r="D5" s="1" t="s">
        <v>14</v>
      </c>
      <c r="E5" s="11">
        <f>SUM(F5:Q5)</f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">
        <v>4032000</v>
      </c>
      <c r="S5" s="1" t="s">
        <v>15</v>
      </c>
      <c r="T5" s="1" t="s">
        <v>16</v>
      </c>
      <c r="U5" s="1" t="s">
        <v>13</v>
      </c>
      <c r="V5" s="1" t="s">
        <v>13</v>
      </c>
      <c r="W5" s="1">
        <v>0</v>
      </c>
      <c r="X5" s="14">
        <v>4032000</v>
      </c>
    </row>
    <row r="6" spans="1:24">
      <c r="A6" s="1" t="s">
        <v>11</v>
      </c>
      <c r="B6" s="10">
        <v>4018</v>
      </c>
      <c r="C6" s="10" t="s">
        <v>19</v>
      </c>
      <c r="D6" s="1" t="s">
        <v>14</v>
      </c>
      <c r="E6" s="11">
        <f t="shared" ref="E6:E28" si="0">SUM(F6:Q6)</f>
        <v>249424.71344323049</v>
      </c>
      <c r="F6" s="12">
        <v>20785.392786935874</v>
      </c>
      <c r="G6" s="12">
        <v>20785.392786935874</v>
      </c>
      <c r="H6" s="12">
        <v>20785.392786935874</v>
      </c>
      <c r="I6" s="12">
        <v>20785.392786935874</v>
      </c>
      <c r="J6" s="12">
        <v>20785.392786935874</v>
      </c>
      <c r="K6" s="12">
        <v>20785.392786935874</v>
      </c>
      <c r="L6" s="12">
        <v>20785.392786935874</v>
      </c>
      <c r="M6" s="12">
        <v>20785.392786935874</v>
      </c>
      <c r="N6" s="12">
        <v>20785.392786935874</v>
      </c>
      <c r="O6" s="12">
        <v>20785.392786935874</v>
      </c>
      <c r="P6" s="12">
        <v>20785.392786935874</v>
      </c>
      <c r="Q6" s="12">
        <v>20785.392786935874</v>
      </c>
      <c r="R6" s="1">
        <v>4031000</v>
      </c>
      <c r="S6" s="1" t="s">
        <v>21</v>
      </c>
      <c r="T6" s="1" t="s">
        <v>16</v>
      </c>
      <c r="U6" s="1" t="s">
        <v>13</v>
      </c>
      <c r="V6" s="1" t="s">
        <v>20</v>
      </c>
      <c r="W6" s="1">
        <v>0</v>
      </c>
      <c r="X6" s="14">
        <v>4031000</v>
      </c>
    </row>
    <row r="7" spans="1:24">
      <c r="A7" s="1" t="s">
        <v>11</v>
      </c>
      <c r="B7" s="10">
        <v>4100</v>
      </c>
      <c r="C7" s="10" t="s">
        <v>22</v>
      </c>
      <c r="D7" s="1" t="s">
        <v>14</v>
      </c>
      <c r="E7" s="11">
        <f t="shared" si="0"/>
        <v>415707.85573871736</v>
      </c>
      <c r="F7" s="12">
        <v>34642.32131155979</v>
      </c>
      <c r="G7" s="12">
        <v>34642.32131155979</v>
      </c>
      <c r="H7" s="12">
        <v>34642.32131155979</v>
      </c>
      <c r="I7" s="12">
        <v>34642.32131155979</v>
      </c>
      <c r="J7" s="12">
        <v>34642.32131155979</v>
      </c>
      <c r="K7" s="12">
        <v>34642.32131155979</v>
      </c>
      <c r="L7" s="12">
        <v>34642.32131155979</v>
      </c>
      <c r="M7" s="12">
        <v>34642.32131155979</v>
      </c>
      <c r="N7" s="12">
        <v>34642.32131155979</v>
      </c>
      <c r="O7" s="12">
        <v>34642.32131155979</v>
      </c>
      <c r="P7" s="12">
        <v>34642.32131155979</v>
      </c>
      <c r="Q7" s="12">
        <v>34642.32131155979</v>
      </c>
      <c r="R7" s="1">
        <v>4063000</v>
      </c>
      <c r="S7" s="1" t="s">
        <v>24</v>
      </c>
      <c r="T7" s="1" t="s">
        <v>16</v>
      </c>
      <c r="U7" s="1" t="s">
        <v>25</v>
      </c>
      <c r="V7" s="1" t="s">
        <v>25</v>
      </c>
      <c r="W7" s="1">
        <v>0</v>
      </c>
      <c r="X7" s="14">
        <v>4063000</v>
      </c>
    </row>
    <row r="8" spans="1:24">
      <c r="A8" s="1" t="s">
        <v>11</v>
      </c>
      <c r="B8" s="10">
        <v>4200</v>
      </c>
      <c r="C8" s="10" t="s">
        <v>26</v>
      </c>
      <c r="D8" s="1" t="s">
        <v>14</v>
      </c>
      <c r="E8" s="11">
        <f t="shared" si="0"/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">
        <v>4032000</v>
      </c>
      <c r="S8" s="1" t="s">
        <v>15</v>
      </c>
      <c r="T8" s="1" t="s">
        <v>16</v>
      </c>
      <c r="U8" s="1" t="s">
        <v>13</v>
      </c>
      <c r="V8" s="1" t="s">
        <v>13</v>
      </c>
      <c r="W8" s="1">
        <v>0</v>
      </c>
      <c r="X8" s="14">
        <v>4032000</v>
      </c>
    </row>
    <row r="9" spans="1:24">
      <c r="A9" s="1" t="s">
        <v>11</v>
      </c>
      <c r="B9" s="10">
        <v>4300</v>
      </c>
      <c r="C9" s="10" t="s">
        <v>27</v>
      </c>
      <c r="D9" s="1" t="s">
        <v>14</v>
      </c>
      <c r="E9" s="11">
        <f t="shared" si="0"/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">
        <v>4032000</v>
      </c>
      <c r="S9" s="1" t="s">
        <v>15</v>
      </c>
      <c r="T9" s="1" t="s">
        <v>16</v>
      </c>
      <c r="U9" s="1" t="s">
        <v>13</v>
      </c>
      <c r="V9" s="1" t="s">
        <v>28</v>
      </c>
      <c r="W9" s="1">
        <v>0</v>
      </c>
      <c r="X9" s="14">
        <v>4032000</v>
      </c>
    </row>
    <row r="10" spans="1:24">
      <c r="A10" s="1" t="s">
        <v>11</v>
      </c>
      <c r="B10" s="10">
        <v>4400</v>
      </c>
      <c r="C10" s="10" t="s">
        <v>29</v>
      </c>
      <c r="D10" s="1" t="s">
        <v>14</v>
      </c>
      <c r="E10" s="11">
        <f t="shared" si="0"/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">
        <v>4032000</v>
      </c>
      <c r="S10" s="1" t="s">
        <v>15</v>
      </c>
      <c r="T10" s="1" t="s">
        <v>16</v>
      </c>
      <c r="U10" s="1" t="s">
        <v>13</v>
      </c>
      <c r="V10" s="1" t="s">
        <v>13</v>
      </c>
      <c r="W10" s="1">
        <v>0</v>
      </c>
      <c r="X10" s="14">
        <v>4032000</v>
      </c>
    </row>
    <row r="11" spans="1:24">
      <c r="A11" s="1" t="s">
        <v>11</v>
      </c>
      <c r="B11" s="10">
        <v>4500</v>
      </c>
      <c r="C11" s="10" t="s">
        <v>30</v>
      </c>
      <c r="D11" s="1" t="s">
        <v>14</v>
      </c>
      <c r="E11" s="11">
        <f t="shared" si="0"/>
        <v>1247123.5672161526</v>
      </c>
      <c r="F11" s="12">
        <v>103926.96393467937</v>
      </c>
      <c r="G11" s="12">
        <v>103926.96393467937</v>
      </c>
      <c r="H11" s="12">
        <v>103926.96393467937</v>
      </c>
      <c r="I11" s="12">
        <v>103926.96393467937</v>
      </c>
      <c r="J11" s="12">
        <v>103926.96393467937</v>
      </c>
      <c r="K11" s="12">
        <v>103926.96393467937</v>
      </c>
      <c r="L11" s="12">
        <v>103926.96393467937</v>
      </c>
      <c r="M11" s="12">
        <v>103926.96393467937</v>
      </c>
      <c r="N11" s="12">
        <v>103926.96393467937</v>
      </c>
      <c r="O11" s="12">
        <v>103926.96393467937</v>
      </c>
      <c r="P11" s="12">
        <v>103926.96393467937</v>
      </c>
      <c r="Q11" s="12">
        <v>103926.96393467937</v>
      </c>
      <c r="R11" s="1">
        <v>4052000</v>
      </c>
      <c r="S11" s="1" t="s">
        <v>31</v>
      </c>
      <c r="T11" s="1" t="s">
        <v>16</v>
      </c>
      <c r="U11" s="1" t="s">
        <v>28</v>
      </c>
      <c r="V11" s="1" t="s">
        <v>28</v>
      </c>
      <c r="W11" s="1">
        <v>0</v>
      </c>
      <c r="X11" s="14">
        <v>4052000</v>
      </c>
    </row>
    <row r="12" spans="1:24">
      <c r="A12" s="1" t="s">
        <v>11</v>
      </c>
      <c r="B12" s="10">
        <v>4600</v>
      </c>
      <c r="C12" s="10" t="s">
        <v>32</v>
      </c>
      <c r="D12" s="1" t="s">
        <v>14</v>
      </c>
      <c r="E12" s="11">
        <f t="shared" si="0"/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">
        <v>4063000</v>
      </c>
      <c r="S12" s="1" t="s">
        <v>24</v>
      </c>
      <c r="T12" s="1" t="s">
        <v>16</v>
      </c>
      <c r="U12" s="1" t="s">
        <v>25</v>
      </c>
      <c r="V12" s="1" t="s">
        <v>25</v>
      </c>
      <c r="W12" s="1">
        <v>0</v>
      </c>
      <c r="X12" s="14">
        <v>4063000</v>
      </c>
    </row>
    <row r="13" spans="1:24">
      <c r="A13" s="1" t="s">
        <v>11</v>
      </c>
      <c r="B13" s="10">
        <v>4550</v>
      </c>
      <c r="C13" s="10" t="s">
        <v>33</v>
      </c>
      <c r="D13" s="1" t="s">
        <v>14</v>
      </c>
      <c r="E13" s="11">
        <f t="shared" si="0"/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">
        <v>4042000</v>
      </c>
      <c r="S13" s="1" t="s">
        <v>34</v>
      </c>
      <c r="T13" s="1" t="s">
        <v>16</v>
      </c>
      <c r="U13" s="1" t="s">
        <v>35</v>
      </c>
      <c r="V13" s="1" t="s">
        <v>28</v>
      </c>
      <c r="W13" s="1">
        <v>0</v>
      </c>
      <c r="X13" s="14">
        <v>4042000</v>
      </c>
    </row>
    <row r="14" spans="1:24">
      <c r="A14" s="1" t="s">
        <v>11</v>
      </c>
      <c r="B14" s="10">
        <v>4760</v>
      </c>
      <c r="C14" s="10" t="s">
        <v>36</v>
      </c>
      <c r="D14" s="1" t="s">
        <v>14</v>
      </c>
      <c r="E14" s="11">
        <f t="shared" si="0"/>
        <v>1080840.4249206653</v>
      </c>
      <c r="F14" s="12">
        <v>90070.035410055454</v>
      </c>
      <c r="G14" s="12">
        <v>90070.035410055454</v>
      </c>
      <c r="H14" s="12">
        <v>90070.035410055454</v>
      </c>
      <c r="I14" s="12">
        <v>90070.035410055454</v>
      </c>
      <c r="J14" s="12">
        <v>90070.035410055454</v>
      </c>
      <c r="K14" s="12">
        <v>90070.035410055454</v>
      </c>
      <c r="L14" s="12">
        <v>90070.035410055454</v>
      </c>
      <c r="M14" s="12">
        <v>90070.035410055454</v>
      </c>
      <c r="N14" s="12">
        <v>90070.035410055454</v>
      </c>
      <c r="O14" s="12">
        <v>90070.035410055454</v>
      </c>
      <c r="P14" s="12">
        <v>90070.035410055454</v>
      </c>
      <c r="Q14" s="12">
        <v>90070.035410055454</v>
      </c>
      <c r="R14" s="1">
        <v>4041000</v>
      </c>
      <c r="S14" s="1" t="s">
        <v>38</v>
      </c>
      <c r="T14" s="1" t="s">
        <v>16</v>
      </c>
      <c r="U14" s="1" t="s">
        <v>35</v>
      </c>
      <c r="V14" s="1" t="s">
        <v>35</v>
      </c>
      <c r="W14" s="1">
        <v>0</v>
      </c>
      <c r="X14" s="14">
        <v>4041000</v>
      </c>
    </row>
    <row r="15" spans="1:24">
      <c r="A15" s="1" t="s">
        <v>11</v>
      </c>
      <c r="B15" s="10">
        <v>4950</v>
      </c>
      <c r="C15" s="10" t="s">
        <v>39</v>
      </c>
      <c r="D15" s="1" t="s">
        <v>14</v>
      </c>
      <c r="E15" s="11">
        <f t="shared" si="0"/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">
        <v>4073000</v>
      </c>
      <c r="S15" s="1" t="s">
        <v>41</v>
      </c>
      <c r="T15" s="1" t="s">
        <v>16</v>
      </c>
      <c r="U15" s="1" t="s">
        <v>42</v>
      </c>
      <c r="X15" s="14"/>
    </row>
    <row r="16" spans="1:24">
      <c r="A16" s="1" t="s">
        <v>11</v>
      </c>
      <c r="B16" s="10">
        <v>4770</v>
      </c>
      <c r="C16" s="10" t="s">
        <v>43</v>
      </c>
      <c r="D16" s="1" t="s">
        <v>14</v>
      </c>
      <c r="E16" s="11">
        <f t="shared" si="0"/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">
        <v>4041000</v>
      </c>
      <c r="S16" s="1" t="s">
        <v>38</v>
      </c>
      <c r="T16" s="1" t="s">
        <v>16</v>
      </c>
      <c r="U16" s="1" t="s">
        <v>35</v>
      </c>
      <c r="V16" s="1" t="s">
        <v>35</v>
      </c>
      <c r="W16" s="1">
        <v>0</v>
      </c>
      <c r="X16" s="14">
        <v>4041000</v>
      </c>
    </row>
    <row r="17" spans="1:24" s="15" customFormat="1">
      <c r="A17" s="15" t="s">
        <v>44</v>
      </c>
      <c r="B17" s="16">
        <v>10001</v>
      </c>
      <c r="C17" s="16" t="s">
        <v>45</v>
      </c>
      <c r="D17" s="15" t="s">
        <v>47</v>
      </c>
      <c r="E17" s="17">
        <f t="shared" si="0"/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5">
        <v>4032000</v>
      </c>
      <c r="S17" s="15" t="s">
        <v>15</v>
      </c>
      <c r="T17" s="15" t="s">
        <v>16</v>
      </c>
      <c r="U17" s="15" t="s">
        <v>13</v>
      </c>
      <c r="V17" s="15" t="s">
        <v>13</v>
      </c>
      <c r="W17" s="15" t="s">
        <v>13</v>
      </c>
      <c r="X17" s="19">
        <v>4032000</v>
      </c>
    </row>
    <row r="18" spans="1:24" s="15" customFormat="1">
      <c r="A18" s="15" t="s">
        <v>44</v>
      </c>
      <c r="B18" s="16">
        <v>10002</v>
      </c>
      <c r="C18" s="16" t="s">
        <v>48</v>
      </c>
      <c r="D18" s="15" t="s">
        <v>47</v>
      </c>
      <c r="E18" s="17">
        <f t="shared" si="0"/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5">
        <v>4032000</v>
      </c>
      <c r="S18" s="15" t="s">
        <v>15</v>
      </c>
      <c r="T18" s="15" t="s">
        <v>16</v>
      </c>
      <c r="U18" s="15" t="s">
        <v>13</v>
      </c>
      <c r="V18" s="15" t="s">
        <v>13</v>
      </c>
      <c r="W18" s="15" t="s">
        <v>13</v>
      </c>
      <c r="X18" s="19">
        <v>4032000</v>
      </c>
    </row>
    <row r="19" spans="1:24" s="15" customFormat="1">
      <c r="A19" s="15" t="s">
        <v>44</v>
      </c>
      <c r="B19" s="16">
        <v>10003</v>
      </c>
      <c r="C19" s="16" t="s">
        <v>49</v>
      </c>
      <c r="D19" s="15" t="s">
        <v>47</v>
      </c>
      <c r="E19" s="17">
        <f t="shared" si="0"/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5">
        <v>4032000</v>
      </c>
      <c r="S19" s="15" t="s">
        <v>15</v>
      </c>
      <c r="T19" s="15" t="s">
        <v>16</v>
      </c>
      <c r="U19" s="15" t="s">
        <v>13</v>
      </c>
      <c r="V19" s="15" t="s">
        <v>13</v>
      </c>
      <c r="W19" s="15" t="s">
        <v>13</v>
      </c>
      <c r="X19" s="19">
        <v>4032000</v>
      </c>
    </row>
    <row r="20" spans="1:24" s="15" customFormat="1">
      <c r="A20" s="15" t="s">
        <v>44</v>
      </c>
      <c r="B20" s="16">
        <v>10004</v>
      </c>
      <c r="C20" s="16" t="s">
        <v>50</v>
      </c>
      <c r="D20" s="15" t="s">
        <v>47</v>
      </c>
      <c r="E20" s="17">
        <f t="shared" si="0"/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5">
        <v>4032000</v>
      </c>
      <c r="S20" s="15" t="s">
        <v>15</v>
      </c>
      <c r="T20" s="15" t="s">
        <v>16</v>
      </c>
      <c r="U20" s="15" t="s">
        <v>13</v>
      </c>
      <c r="V20" s="15" t="s">
        <v>13</v>
      </c>
      <c r="W20" s="15" t="s">
        <v>13</v>
      </c>
      <c r="X20" s="19">
        <v>4032000</v>
      </c>
    </row>
    <row r="21" spans="1:24" s="15" customFormat="1">
      <c r="A21" s="15" t="s">
        <v>44</v>
      </c>
      <c r="B21" s="16">
        <v>10007</v>
      </c>
      <c r="C21" s="16" t="s">
        <v>51</v>
      </c>
      <c r="D21" s="15" t="s">
        <v>47</v>
      </c>
      <c r="E21" s="17">
        <f t="shared" si="0"/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5">
        <v>4032000</v>
      </c>
      <c r="S21" s="15" t="s">
        <v>15</v>
      </c>
      <c r="T21" s="15" t="s">
        <v>16</v>
      </c>
      <c r="U21" s="15" t="s">
        <v>13</v>
      </c>
      <c r="V21" s="15" t="s">
        <v>13</v>
      </c>
      <c r="W21" s="15" t="s">
        <v>13</v>
      </c>
      <c r="X21" s="19">
        <v>4032000</v>
      </c>
    </row>
    <row r="22" spans="1:24" s="15" customFormat="1">
      <c r="A22" s="15" t="s">
        <v>44</v>
      </c>
      <c r="B22" s="16">
        <v>10008</v>
      </c>
      <c r="C22" s="16" t="s">
        <v>52</v>
      </c>
      <c r="D22" s="15" t="s">
        <v>47</v>
      </c>
      <c r="E22" s="17">
        <f t="shared" si="0"/>
        <v>288807.56293426687</v>
      </c>
      <c r="F22" s="18">
        <v>24067.296911188907</v>
      </c>
      <c r="G22" s="18">
        <v>24067.296911188907</v>
      </c>
      <c r="H22" s="18">
        <v>24067.296911188907</v>
      </c>
      <c r="I22" s="18">
        <v>24067.296911188907</v>
      </c>
      <c r="J22" s="18">
        <v>24067.296911188907</v>
      </c>
      <c r="K22" s="18">
        <v>24067.296911188907</v>
      </c>
      <c r="L22" s="18">
        <v>24067.296911188907</v>
      </c>
      <c r="M22" s="18">
        <v>24067.296911188907</v>
      </c>
      <c r="N22" s="18">
        <v>24067.296911188907</v>
      </c>
      <c r="O22" s="18">
        <v>24067.296911188907</v>
      </c>
      <c r="P22" s="18">
        <v>24067.296911188907</v>
      </c>
      <c r="Q22" s="18">
        <v>24067.296911188907</v>
      </c>
      <c r="R22" s="15">
        <v>4053000</v>
      </c>
      <c r="S22" s="15" t="s">
        <v>53</v>
      </c>
      <c r="T22" s="15" t="s">
        <v>16</v>
      </c>
      <c r="U22" s="15" t="s">
        <v>28</v>
      </c>
      <c r="V22" s="15" t="s">
        <v>28</v>
      </c>
      <c r="W22" s="15" t="s">
        <v>28</v>
      </c>
      <c r="X22" s="19">
        <v>4053000</v>
      </c>
    </row>
    <row r="23" spans="1:24" s="15" customFormat="1">
      <c r="A23" s="15" t="s">
        <v>44</v>
      </c>
      <c r="B23" s="16">
        <v>10009</v>
      </c>
      <c r="C23" s="16" t="s">
        <v>54</v>
      </c>
      <c r="D23" s="15" t="s">
        <v>47</v>
      </c>
      <c r="E23" s="17">
        <f t="shared" si="0"/>
        <v>131276.16497012132</v>
      </c>
      <c r="F23" s="18">
        <v>10939.680414176777</v>
      </c>
      <c r="G23" s="18">
        <v>10939.680414176777</v>
      </c>
      <c r="H23" s="18">
        <v>10939.680414176777</v>
      </c>
      <c r="I23" s="18">
        <v>10939.680414176777</v>
      </c>
      <c r="J23" s="18">
        <v>10939.680414176777</v>
      </c>
      <c r="K23" s="18">
        <v>10939.680414176777</v>
      </c>
      <c r="L23" s="18">
        <v>10939.680414176777</v>
      </c>
      <c r="M23" s="18">
        <v>10939.680414176777</v>
      </c>
      <c r="N23" s="18">
        <v>10939.680414176777</v>
      </c>
      <c r="O23" s="18">
        <v>10939.680414176777</v>
      </c>
      <c r="P23" s="18">
        <v>10939.680414176777</v>
      </c>
      <c r="Q23" s="18">
        <v>10939.680414176777</v>
      </c>
      <c r="R23" s="15">
        <v>4063000</v>
      </c>
      <c r="S23" s="15" t="s">
        <v>24</v>
      </c>
      <c r="T23" s="15" t="s">
        <v>16</v>
      </c>
      <c r="U23" s="15" t="s">
        <v>25</v>
      </c>
      <c r="V23" s="15" t="s">
        <v>25</v>
      </c>
      <c r="W23" s="15" t="s">
        <v>25</v>
      </c>
      <c r="X23" s="19">
        <v>4063000</v>
      </c>
    </row>
    <row r="24" spans="1:24" s="15" customFormat="1">
      <c r="A24" s="15" t="s">
        <v>44</v>
      </c>
      <c r="B24" s="16">
        <v>10010</v>
      </c>
      <c r="C24" s="16" t="s">
        <v>55</v>
      </c>
      <c r="D24" s="15" t="s">
        <v>47</v>
      </c>
      <c r="E24" s="17">
        <f t="shared" si="0"/>
        <v>971443.62077889789</v>
      </c>
      <c r="F24" s="18">
        <v>80953.635064908143</v>
      </c>
      <c r="G24" s="18">
        <v>80953.635064908143</v>
      </c>
      <c r="H24" s="18">
        <v>80953.635064908143</v>
      </c>
      <c r="I24" s="18">
        <v>80953.635064908143</v>
      </c>
      <c r="J24" s="18">
        <v>80953.635064908143</v>
      </c>
      <c r="K24" s="18">
        <v>80953.635064908143</v>
      </c>
      <c r="L24" s="18">
        <v>80953.635064908143</v>
      </c>
      <c r="M24" s="18">
        <v>80953.635064908143</v>
      </c>
      <c r="N24" s="18">
        <v>80953.635064908143</v>
      </c>
      <c r="O24" s="18">
        <v>80953.635064908143</v>
      </c>
      <c r="P24" s="18">
        <v>80953.635064908143</v>
      </c>
      <c r="Q24" s="18">
        <v>80953.635064908143</v>
      </c>
      <c r="R24" s="15">
        <v>4041000</v>
      </c>
      <c r="S24" s="15" t="s">
        <v>38</v>
      </c>
      <c r="T24" s="15" t="s">
        <v>16</v>
      </c>
      <c r="U24" s="15" t="s">
        <v>35</v>
      </c>
      <c r="V24" s="15" t="s">
        <v>35</v>
      </c>
      <c r="W24" s="15" t="s">
        <v>35</v>
      </c>
      <c r="X24" s="19">
        <v>4041000</v>
      </c>
    </row>
    <row r="25" spans="1:24" s="15" customFormat="1">
      <c r="A25" s="15" t="s">
        <v>44</v>
      </c>
      <c r="B25" s="16">
        <v>10011</v>
      </c>
      <c r="C25" s="16" t="s">
        <v>56</v>
      </c>
      <c r="D25" s="15" t="s">
        <v>47</v>
      </c>
      <c r="E25" s="17">
        <f t="shared" si="0"/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5">
        <v>4032000</v>
      </c>
      <c r="S25" s="15" t="s">
        <v>15</v>
      </c>
      <c r="T25" s="15" t="s">
        <v>16</v>
      </c>
      <c r="U25" s="15" t="s">
        <v>13</v>
      </c>
      <c r="V25" s="15" t="s">
        <v>13</v>
      </c>
      <c r="W25" s="15" t="s">
        <v>13</v>
      </c>
      <c r="X25" s="19">
        <v>4032000</v>
      </c>
    </row>
    <row r="26" spans="1:24" s="15" customFormat="1">
      <c r="A26" s="15" t="s">
        <v>44</v>
      </c>
      <c r="B26" s="16">
        <v>10019</v>
      </c>
      <c r="C26" s="16" t="s">
        <v>57</v>
      </c>
      <c r="D26" s="15" t="s">
        <v>47</v>
      </c>
      <c r="E26" s="17">
        <f t="shared" si="0"/>
        <v>105020.93197609707</v>
      </c>
      <c r="F26" s="18">
        <v>8751.7443313414205</v>
      </c>
      <c r="G26" s="18">
        <v>8751.7443313414205</v>
      </c>
      <c r="H26" s="18">
        <v>8751.7443313414205</v>
      </c>
      <c r="I26" s="18">
        <v>8751.7443313414205</v>
      </c>
      <c r="J26" s="18">
        <v>8751.7443313414205</v>
      </c>
      <c r="K26" s="18">
        <v>8751.7443313414205</v>
      </c>
      <c r="L26" s="18">
        <v>8751.7443313414205</v>
      </c>
      <c r="M26" s="18">
        <v>8751.7443313414205</v>
      </c>
      <c r="N26" s="18">
        <v>8751.7443313414205</v>
      </c>
      <c r="O26" s="18">
        <v>8751.7443313414205</v>
      </c>
      <c r="P26" s="18">
        <v>8751.7443313414205</v>
      </c>
      <c r="Q26" s="18">
        <v>8751.7443313414205</v>
      </c>
      <c r="R26" s="15">
        <v>4032000</v>
      </c>
      <c r="S26" s="15" t="s">
        <v>15</v>
      </c>
      <c r="T26" s="15" t="s">
        <v>16</v>
      </c>
      <c r="U26" s="15" t="s">
        <v>13</v>
      </c>
      <c r="V26" s="15" t="s">
        <v>13</v>
      </c>
      <c r="W26" s="15" t="s">
        <v>58</v>
      </c>
      <c r="X26" s="19">
        <v>4032000</v>
      </c>
    </row>
    <row r="27" spans="1:24" s="15" customFormat="1">
      <c r="A27" s="15" t="s">
        <v>44</v>
      </c>
      <c r="B27" s="16">
        <v>10020</v>
      </c>
      <c r="C27" s="16" t="s">
        <v>59</v>
      </c>
      <c r="D27" s="15" t="s">
        <v>47</v>
      </c>
      <c r="E27" s="17">
        <f t="shared" si="0"/>
        <v>1128975.0187430433</v>
      </c>
      <c r="F27" s="18">
        <v>94081.251561920275</v>
      </c>
      <c r="G27" s="18">
        <v>94081.251561920275</v>
      </c>
      <c r="H27" s="18">
        <v>94081.251561920275</v>
      </c>
      <c r="I27" s="18">
        <v>94081.251561920275</v>
      </c>
      <c r="J27" s="18">
        <v>94081.251561920275</v>
      </c>
      <c r="K27" s="18">
        <v>94081.251561920275</v>
      </c>
      <c r="L27" s="18">
        <v>94081.251561920275</v>
      </c>
      <c r="M27" s="18">
        <v>94081.251561920275</v>
      </c>
      <c r="N27" s="18">
        <v>94081.251561920275</v>
      </c>
      <c r="O27" s="18">
        <v>94081.251561920275</v>
      </c>
      <c r="P27" s="18">
        <v>94081.251561920275</v>
      </c>
      <c r="Q27" s="18">
        <v>94081.251561920275</v>
      </c>
      <c r="R27" s="15">
        <v>4032000</v>
      </c>
      <c r="S27" s="15" t="s">
        <v>15</v>
      </c>
      <c r="T27" s="15" t="s">
        <v>16</v>
      </c>
      <c r="U27" s="15" t="s">
        <v>13</v>
      </c>
      <c r="V27" s="15" t="s">
        <v>13</v>
      </c>
      <c r="W27" s="15" t="s">
        <v>13</v>
      </c>
      <c r="X27" s="19">
        <v>4032000</v>
      </c>
    </row>
    <row r="28" spans="1:24" s="15" customFormat="1">
      <c r="A28" s="15" t="s">
        <v>44</v>
      </c>
      <c r="B28" s="16">
        <v>10050</v>
      </c>
      <c r="C28" s="16" t="s">
        <v>60</v>
      </c>
      <c r="D28" s="15" t="s">
        <v>47</v>
      </c>
      <c r="E28" s="17">
        <f t="shared" si="0"/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5">
        <v>4041000</v>
      </c>
      <c r="S28" s="15" t="s">
        <v>38</v>
      </c>
      <c r="T28" s="15" t="s">
        <v>16</v>
      </c>
      <c r="U28" s="15" t="s">
        <v>35</v>
      </c>
      <c r="V28" s="15" t="s">
        <v>35</v>
      </c>
      <c r="W28" s="15" t="s">
        <v>35</v>
      </c>
      <c r="X28" s="19">
        <v>4041000</v>
      </c>
    </row>
    <row r="29" spans="1:24" s="15" customFormat="1">
      <c r="A29" s="15" t="s">
        <v>44</v>
      </c>
      <c r="B29" s="16">
        <v>10070</v>
      </c>
      <c r="C29" s="16" t="s">
        <v>61</v>
      </c>
      <c r="D29" s="15" t="s">
        <v>47</v>
      </c>
      <c r="E29" s="17">
        <f>SUM(F29:Q29)</f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5">
        <v>4053000</v>
      </c>
      <c r="S29" s="15" t="s">
        <v>53</v>
      </c>
      <c r="T29" s="15" t="s">
        <v>16</v>
      </c>
      <c r="U29" s="15" t="s">
        <v>28</v>
      </c>
      <c r="V29" s="15" t="e">
        <v>#N/A</v>
      </c>
      <c r="W29" s="15" t="e">
        <v>#N/A</v>
      </c>
      <c r="X29" s="19">
        <v>4053000</v>
      </c>
    </row>
    <row r="30" spans="1:24" s="15" customFormat="1">
      <c r="A30" s="15" t="s">
        <v>44</v>
      </c>
      <c r="B30" s="16">
        <v>10199</v>
      </c>
      <c r="C30" s="16" t="s">
        <v>62</v>
      </c>
      <c r="D30" s="15" t="s">
        <v>47</v>
      </c>
      <c r="E30" s="17">
        <f t="shared" ref="E30:E34" si="1">SUM(F30:Q30)</f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5">
        <v>4032000</v>
      </c>
      <c r="S30" s="15" t="s">
        <v>15</v>
      </c>
      <c r="T30" s="15" t="s">
        <v>16</v>
      </c>
      <c r="U30" s="15" t="s">
        <v>13</v>
      </c>
      <c r="V30" s="15" t="s">
        <v>13</v>
      </c>
      <c r="W30" s="15" t="s">
        <v>13</v>
      </c>
      <c r="X30" s="19">
        <v>4032000</v>
      </c>
    </row>
    <row r="31" spans="1:24" s="15" customFormat="1">
      <c r="A31" s="15" t="s">
        <v>44</v>
      </c>
      <c r="B31" s="16">
        <v>10599</v>
      </c>
      <c r="C31" s="16" t="s">
        <v>63</v>
      </c>
      <c r="D31" s="15" t="s">
        <v>47</v>
      </c>
      <c r="E31" s="17">
        <f t="shared" si="1"/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5">
        <v>4073000</v>
      </c>
      <c r="S31" s="15" t="s">
        <v>41</v>
      </c>
      <c r="T31" s="15" t="s">
        <v>16</v>
      </c>
      <c r="U31" s="15" t="s">
        <v>42</v>
      </c>
      <c r="V31" s="15" t="s">
        <v>40</v>
      </c>
      <c r="W31" s="15">
        <v>0</v>
      </c>
      <c r="X31" s="19">
        <v>4073000</v>
      </c>
    </row>
    <row r="32" spans="1:24" s="15" customFormat="1">
      <c r="A32" s="15" t="s">
        <v>44</v>
      </c>
      <c r="B32" s="16">
        <v>19998</v>
      </c>
      <c r="C32" s="16" t="s">
        <v>64</v>
      </c>
      <c r="D32" s="15" t="s">
        <v>47</v>
      </c>
      <c r="E32" s="17">
        <f t="shared" si="1"/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5">
        <v>4073000</v>
      </c>
      <c r="S32" s="15" t="s">
        <v>41</v>
      </c>
      <c r="T32" s="15" t="s">
        <v>16</v>
      </c>
      <c r="U32" s="15" t="s">
        <v>42</v>
      </c>
      <c r="V32" s="15" t="s">
        <v>40</v>
      </c>
      <c r="W32" s="15">
        <v>0</v>
      </c>
      <c r="X32" s="19">
        <v>4073000</v>
      </c>
    </row>
    <row r="33" spans="1:24" s="15" customFormat="1">
      <c r="A33" s="15" t="s">
        <v>44</v>
      </c>
      <c r="B33" s="16">
        <v>19999</v>
      </c>
      <c r="C33" s="16" t="s">
        <v>65</v>
      </c>
      <c r="D33" s="15" t="s">
        <v>47</v>
      </c>
      <c r="E33" s="17">
        <f t="shared" si="1"/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5">
        <v>4073000</v>
      </c>
      <c r="S33" s="15" t="s">
        <v>41</v>
      </c>
      <c r="T33" s="15" t="s">
        <v>16</v>
      </c>
      <c r="U33" s="15" t="s">
        <v>42</v>
      </c>
      <c r="V33" s="15" t="s">
        <v>40</v>
      </c>
      <c r="W33" s="15">
        <v>0</v>
      </c>
      <c r="X33" s="19">
        <v>4073000</v>
      </c>
    </row>
    <row r="34" spans="1:24" s="15" customFormat="1">
      <c r="A34" s="15" t="s">
        <v>44</v>
      </c>
      <c r="B34" s="16">
        <v>10700</v>
      </c>
      <c r="C34" s="16" t="s">
        <v>66</v>
      </c>
      <c r="D34" s="15" t="s">
        <v>47</v>
      </c>
      <c r="E34" s="17">
        <f t="shared" si="1"/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5">
        <v>4073000</v>
      </c>
      <c r="S34" s="15" t="s">
        <v>41</v>
      </c>
      <c r="T34" s="15" t="s">
        <v>16</v>
      </c>
      <c r="U34" s="15" t="s">
        <v>42</v>
      </c>
      <c r="V34" s="15" t="s">
        <v>40</v>
      </c>
      <c r="W34" s="15">
        <v>0</v>
      </c>
      <c r="X34" s="19">
        <v>4073000</v>
      </c>
    </row>
    <row r="35" spans="1:24" s="15" customFormat="1">
      <c r="A35" s="15" t="s">
        <v>44</v>
      </c>
      <c r="B35" s="16">
        <v>70000</v>
      </c>
      <c r="C35" s="16" t="s">
        <v>67</v>
      </c>
      <c r="D35" s="15" t="s">
        <v>47</v>
      </c>
      <c r="E35" s="17">
        <f>SUM(F35:Q35)</f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5">
        <v>4073000</v>
      </c>
      <c r="S35" s="15" t="s">
        <v>41</v>
      </c>
      <c r="T35" s="15" t="s">
        <v>16</v>
      </c>
      <c r="U35" s="15" t="s">
        <v>42</v>
      </c>
      <c r="V35" s="15" t="s">
        <v>40</v>
      </c>
      <c r="X35" s="19">
        <v>4073000</v>
      </c>
    </row>
    <row r="36" spans="1:24" s="15" customFormat="1">
      <c r="A36" s="15" t="s">
        <v>44</v>
      </c>
      <c r="B36" s="16">
        <v>70220</v>
      </c>
      <c r="C36" s="16" t="s">
        <v>68</v>
      </c>
      <c r="D36" s="15" t="s">
        <v>47</v>
      </c>
      <c r="E36" s="17">
        <f t="shared" ref="E36:E41" si="2">SUM(F36:Q36)</f>
        <v>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5">
        <v>4073000</v>
      </c>
      <c r="S36" s="15" t="s">
        <v>41</v>
      </c>
      <c r="T36" s="15" t="s">
        <v>16</v>
      </c>
      <c r="U36" s="15" t="s">
        <v>42</v>
      </c>
      <c r="X36" s="19"/>
    </row>
    <row r="37" spans="1:24">
      <c r="A37" s="1" t="s">
        <v>11</v>
      </c>
      <c r="B37" s="10">
        <v>4000</v>
      </c>
      <c r="C37" s="20" t="s">
        <v>13</v>
      </c>
      <c r="D37" s="1" t="s">
        <v>14</v>
      </c>
      <c r="E37" s="11">
        <f t="shared" si="2"/>
        <v>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">
        <v>4032000</v>
      </c>
      <c r="S37" s="1" t="s">
        <v>15</v>
      </c>
      <c r="T37" s="1" t="s">
        <v>16</v>
      </c>
      <c r="U37" s="1" t="s">
        <v>13</v>
      </c>
      <c r="X37" s="14"/>
    </row>
    <row r="38" spans="1:24">
      <c r="A38" s="1" t="s">
        <v>11</v>
      </c>
      <c r="B38" s="10">
        <v>4018</v>
      </c>
      <c r="C38" s="20" t="s">
        <v>58</v>
      </c>
      <c r="D38" s="1" t="s">
        <v>14</v>
      </c>
      <c r="E38" s="11">
        <f t="shared" si="2"/>
        <v>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">
        <v>4031000</v>
      </c>
      <c r="S38" s="1" t="s">
        <v>21</v>
      </c>
      <c r="T38" s="1" t="s">
        <v>16</v>
      </c>
      <c r="U38" s="1" t="s">
        <v>13</v>
      </c>
      <c r="X38" s="14"/>
    </row>
    <row r="39" spans="1:24">
      <c r="A39" s="1" t="s">
        <v>11</v>
      </c>
      <c r="B39" s="21">
        <v>4100</v>
      </c>
      <c r="C39" s="20" t="s">
        <v>37</v>
      </c>
      <c r="D39" s="1" t="s">
        <v>14</v>
      </c>
      <c r="E39" s="11">
        <f t="shared" si="2"/>
        <v>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">
        <v>4041000</v>
      </c>
      <c r="S39" s="1" t="s">
        <v>38</v>
      </c>
      <c r="T39" s="1" t="s">
        <v>16</v>
      </c>
      <c r="U39" s="1" t="s">
        <v>35</v>
      </c>
      <c r="X39" s="14"/>
    </row>
    <row r="40" spans="1:24">
      <c r="A40" s="1" t="s">
        <v>11</v>
      </c>
      <c r="B40" s="21">
        <v>4500</v>
      </c>
      <c r="C40" s="20" t="s">
        <v>69</v>
      </c>
      <c r="D40" s="1" t="s">
        <v>14</v>
      </c>
      <c r="E40" s="11">
        <f t="shared" si="2"/>
        <v>0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">
        <v>4052000</v>
      </c>
      <c r="S40" s="1" t="s">
        <v>31</v>
      </c>
      <c r="T40" s="1" t="s">
        <v>16</v>
      </c>
      <c r="U40" s="1" t="s">
        <v>28</v>
      </c>
      <c r="X40" s="14"/>
    </row>
    <row r="41" spans="1:24">
      <c r="A41" s="1" t="s">
        <v>11</v>
      </c>
      <c r="B41" s="21">
        <v>4600</v>
      </c>
      <c r="C41" s="20" t="s">
        <v>23</v>
      </c>
      <c r="D41" s="1" t="s">
        <v>14</v>
      </c>
      <c r="E41" s="11">
        <f t="shared" si="2"/>
        <v>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">
        <v>4063000</v>
      </c>
      <c r="S41" s="1" t="s">
        <v>24</v>
      </c>
      <c r="T41" s="1" t="s">
        <v>16</v>
      </c>
      <c r="U41" s="1" t="s">
        <v>25</v>
      </c>
      <c r="X41" s="14"/>
    </row>
    <row r="42" spans="1:24">
      <c r="B42" s="21"/>
      <c r="C42" s="20"/>
      <c r="E42" s="1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X42" s="14"/>
    </row>
    <row r="43" spans="1:24">
      <c r="B43" s="22"/>
      <c r="C43" s="22"/>
      <c r="E43" s="23">
        <f t="shared" ref="E43:Q43" si="3">SUM(E4:E35)</f>
        <v>10939680.414176775</v>
      </c>
      <c r="F43" s="23">
        <f t="shared" si="3"/>
        <v>911640.03451473138</v>
      </c>
      <c r="G43" s="23">
        <f t="shared" si="3"/>
        <v>911640.03451473138</v>
      </c>
      <c r="H43" s="23">
        <f t="shared" si="3"/>
        <v>911640.03451473138</v>
      </c>
      <c r="I43" s="23">
        <f t="shared" si="3"/>
        <v>911640.03451473138</v>
      </c>
      <c r="J43" s="23">
        <f t="shared" si="3"/>
        <v>911640.03451473138</v>
      </c>
      <c r="K43" s="23">
        <f t="shared" si="3"/>
        <v>911640.03451473138</v>
      </c>
      <c r="L43" s="23">
        <f t="shared" si="3"/>
        <v>911640.03451473138</v>
      </c>
      <c r="M43" s="23">
        <f t="shared" si="3"/>
        <v>911640.03451473138</v>
      </c>
      <c r="N43" s="23">
        <f t="shared" si="3"/>
        <v>911640.03451473138</v>
      </c>
      <c r="O43" s="23">
        <f t="shared" si="3"/>
        <v>911640.03451473138</v>
      </c>
      <c r="P43" s="23">
        <f t="shared" si="3"/>
        <v>911640.03451473138</v>
      </c>
      <c r="Q43" s="23">
        <f t="shared" si="3"/>
        <v>911640.03451473138</v>
      </c>
      <c r="X43" s="14" t="e">
        <v>#N/A</v>
      </c>
    </row>
    <row r="44" spans="1:24">
      <c r="A44" s="1" t="s">
        <v>11</v>
      </c>
      <c r="B44" s="10">
        <v>5000</v>
      </c>
      <c r="C44" s="10" t="s">
        <v>70</v>
      </c>
      <c r="D44" s="1" t="s">
        <v>72</v>
      </c>
      <c r="E44" s="11">
        <f t="shared" ref="E44:E107" si="4">SUM(F44:Q44)</f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">
        <v>5032000</v>
      </c>
      <c r="S44" s="1" t="s">
        <v>73</v>
      </c>
      <c r="T44" s="1" t="s">
        <v>72</v>
      </c>
      <c r="U44" s="1" t="s">
        <v>74</v>
      </c>
      <c r="V44" s="1" t="s">
        <v>75</v>
      </c>
      <c r="W44" s="1" t="s">
        <v>76</v>
      </c>
      <c r="X44" s="14">
        <v>5032000</v>
      </c>
    </row>
    <row r="45" spans="1:24">
      <c r="A45" s="1" t="s">
        <v>11</v>
      </c>
      <c r="B45" s="10">
        <v>5010</v>
      </c>
      <c r="C45" s="10" t="s">
        <v>77</v>
      </c>
      <c r="D45" s="1" t="s">
        <v>72</v>
      </c>
      <c r="E45" s="11">
        <f t="shared" si="4"/>
        <v>-1170633.3217602284</v>
      </c>
      <c r="F45" s="12">
        <v>-97552.776813352364</v>
      </c>
      <c r="G45" s="12">
        <v>-97552.776813352364</v>
      </c>
      <c r="H45" s="12">
        <v>-97552.776813352364</v>
      </c>
      <c r="I45" s="12">
        <v>-97552.776813352364</v>
      </c>
      <c r="J45" s="12">
        <v>-97552.776813352364</v>
      </c>
      <c r="K45" s="12">
        <v>-97552.776813352364</v>
      </c>
      <c r="L45" s="12">
        <v>-97552.776813352364</v>
      </c>
      <c r="M45" s="12">
        <v>-97552.776813352364</v>
      </c>
      <c r="N45" s="12">
        <v>-97552.776813352364</v>
      </c>
      <c r="O45" s="12">
        <v>-97552.776813352364</v>
      </c>
      <c r="P45" s="12">
        <v>-97552.776813352364</v>
      </c>
      <c r="Q45" s="12">
        <v>-97552.776813352364</v>
      </c>
      <c r="R45" s="1">
        <v>5032000</v>
      </c>
      <c r="S45" s="1" t="s">
        <v>73</v>
      </c>
      <c r="T45" s="1" t="s">
        <v>72</v>
      </c>
      <c r="U45" s="1" t="s">
        <v>74</v>
      </c>
      <c r="V45" s="1" t="s">
        <v>75</v>
      </c>
      <c r="W45" s="1" t="s">
        <v>76</v>
      </c>
      <c r="X45" s="14">
        <v>5032000</v>
      </c>
    </row>
    <row r="46" spans="1:24">
      <c r="A46" s="1" t="s">
        <v>11</v>
      </c>
      <c r="B46" s="10">
        <v>5020</v>
      </c>
      <c r="C46" s="10" t="s">
        <v>78</v>
      </c>
      <c r="D46" s="1" t="s">
        <v>72</v>
      </c>
      <c r="E46" s="11">
        <f t="shared" si="4"/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">
        <v>5032000</v>
      </c>
      <c r="S46" s="1" t="s">
        <v>73</v>
      </c>
      <c r="T46" s="1" t="s">
        <v>72</v>
      </c>
      <c r="U46" s="1" t="s">
        <v>74</v>
      </c>
      <c r="V46" s="1" t="s">
        <v>75</v>
      </c>
      <c r="W46" s="1" t="s">
        <v>76</v>
      </c>
      <c r="X46" s="14">
        <v>5032000</v>
      </c>
    </row>
    <row r="47" spans="1:24">
      <c r="A47" s="1" t="s">
        <v>11</v>
      </c>
      <c r="B47" s="10">
        <v>5018</v>
      </c>
      <c r="C47" s="10" t="s">
        <v>79</v>
      </c>
      <c r="D47" s="1" t="s">
        <v>72</v>
      </c>
      <c r="E47" s="11">
        <f t="shared" si="4"/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">
        <v>5031000</v>
      </c>
      <c r="S47" s="1" t="s">
        <v>81</v>
      </c>
      <c r="T47" s="1" t="s">
        <v>72</v>
      </c>
      <c r="U47" s="1" t="s">
        <v>74</v>
      </c>
      <c r="V47" s="1" t="s">
        <v>75</v>
      </c>
      <c r="W47" s="1" t="s">
        <v>82</v>
      </c>
      <c r="X47" s="14">
        <v>5031000</v>
      </c>
    </row>
    <row r="48" spans="1:24">
      <c r="A48" s="1" t="s">
        <v>11</v>
      </c>
      <c r="B48" s="10">
        <v>5019</v>
      </c>
      <c r="C48" s="10" t="s">
        <v>83</v>
      </c>
      <c r="D48" s="1" t="s">
        <v>72</v>
      </c>
      <c r="E48" s="11">
        <f t="shared" si="4"/>
        <v>-124712.35672161524</v>
      </c>
      <c r="F48" s="12">
        <v>-10392.696393467937</v>
      </c>
      <c r="G48" s="12">
        <v>-10392.696393467937</v>
      </c>
      <c r="H48" s="12">
        <v>-10392.696393467937</v>
      </c>
      <c r="I48" s="12">
        <v>-10392.696393467937</v>
      </c>
      <c r="J48" s="12">
        <v>-10392.696393467937</v>
      </c>
      <c r="K48" s="12">
        <v>-10392.696393467937</v>
      </c>
      <c r="L48" s="12">
        <v>-10392.696393467937</v>
      </c>
      <c r="M48" s="12">
        <v>-10392.696393467937</v>
      </c>
      <c r="N48" s="12">
        <v>-10392.696393467937</v>
      </c>
      <c r="O48" s="12">
        <v>-10392.696393467937</v>
      </c>
      <c r="P48" s="12">
        <v>-10392.696393467937</v>
      </c>
      <c r="Q48" s="12">
        <v>-10392.696393467937</v>
      </c>
      <c r="R48" s="1">
        <v>5031000</v>
      </c>
      <c r="S48" s="1" t="s">
        <v>81</v>
      </c>
      <c r="T48" s="1" t="s">
        <v>72</v>
      </c>
      <c r="U48" s="1" t="s">
        <v>74</v>
      </c>
      <c r="V48" s="1" t="s">
        <v>75</v>
      </c>
      <c r="W48" s="1" t="s">
        <v>82</v>
      </c>
      <c r="X48" s="14">
        <v>5031000</v>
      </c>
    </row>
    <row r="49" spans="1:24">
      <c r="A49" s="1" t="s">
        <v>11</v>
      </c>
      <c r="B49" s="10">
        <v>5022</v>
      </c>
      <c r="C49" s="10" t="s">
        <v>84</v>
      </c>
      <c r="D49" s="1" t="s">
        <v>72</v>
      </c>
      <c r="E49" s="11">
        <f t="shared" si="4"/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">
        <v>5031000</v>
      </c>
      <c r="S49" s="1" t="s">
        <v>81</v>
      </c>
      <c r="T49" s="1" t="s">
        <v>72</v>
      </c>
      <c r="U49" s="1" t="s">
        <v>74</v>
      </c>
      <c r="V49" s="1" t="s">
        <v>75</v>
      </c>
      <c r="W49" s="1" t="s">
        <v>82</v>
      </c>
      <c r="X49" s="14">
        <v>5031000</v>
      </c>
    </row>
    <row r="50" spans="1:24">
      <c r="A50" s="1" t="s">
        <v>11</v>
      </c>
      <c r="B50" s="10">
        <v>5028</v>
      </c>
      <c r="C50" s="10" t="s">
        <v>85</v>
      </c>
      <c r="D50" s="1" t="s">
        <v>72</v>
      </c>
      <c r="E50" s="11">
        <f t="shared" si="4"/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">
        <v>5032000</v>
      </c>
      <c r="S50" s="1" t="s">
        <v>73</v>
      </c>
      <c r="T50" s="1" t="s">
        <v>72</v>
      </c>
      <c r="U50" s="1" t="s">
        <v>74</v>
      </c>
      <c r="V50" s="1" t="s">
        <v>75</v>
      </c>
      <c r="W50" s="1" t="s">
        <v>76</v>
      </c>
      <c r="X50" s="14">
        <v>5032000</v>
      </c>
    </row>
    <row r="51" spans="1:24">
      <c r="A51" s="1" t="s">
        <v>11</v>
      </c>
      <c r="B51" s="10">
        <v>5030</v>
      </c>
      <c r="C51" s="10" t="s">
        <v>87</v>
      </c>
      <c r="D51" s="1" t="s">
        <v>72</v>
      </c>
      <c r="E51" s="11">
        <f t="shared" si="4"/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">
        <v>5032000</v>
      </c>
      <c r="S51" s="1" t="s">
        <v>73</v>
      </c>
      <c r="T51" s="1" t="s">
        <v>72</v>
      </c>
      <c r="U51" s="1" t="s">
        <v>74</v>
      </c>
      <c r="V51" s="1" t="s">
        <v>75</v>
      </c>
      <c r="W51" s="1" t="s">
        <v>76</v>
      </c>
      <c r="X51" s="14">
        <v>5032000</v>
      </c>
    </row>
    <row r="52" spans="1:24">
      <c r="A52" s="1" t="s">
        <v>11</v>
      </c>
      <c r="B52" s="10">
        <v>5032</v>
      </c>
      <c r="C52" s="10" t="s">
        <v>88</v>
      </c>
      <c r="D52" s="1" t="s">
        <v>72</v>
      </c>
      <c r="E52" s="11">
        <f t="shared" si="4"/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">
        <v>5032000</v>
      </c>
      <c r="S52" s="1" t="s">
        <v>73</v>
      </c>
      <c r="T52" s="1" t="s">
        <v>72</v>
      </c>
      <c r="U52" s="1" t="s">
        <v>74</v>
      </c>
      <c r="V52" s="1" t="s">
        <v>75</v>
      </c>
      <c r="W52" s="1" t="s">
        <v>76</v>
      </c>
      <c r="X52" s="14">
        <v>5032000</v>
      </c>
    </row>
    <row r="53" spans="1:24">
      <c r="A53" s="1" t="s">
        <v>11</v>
      </c>
      <c r="B53" s="10">
        <v>5048</v>
      </c>
      <c r="C53" s="10" t="s">
        <v>89</v>
      </c>
      <c r="D53" s="1" t="s">
        <v>72</v>
      </c>
      <c r="E53" s="11">
        <f t="shared" si="4"/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">
        <v>5032000</v>
      </c>
      <c r="S53" s="1" t="s">
        <v>73</v>
      </c>
      <c r="T53" s="1" t="s">
        <v>72</v>
      </c>
      <c r="U53" s="1" t="s">
        <v>74</v>
      </c>
      <c r="V53" s="1" t="s">
        <v>75</v>
      </c>
      <c r="W53" s="1" t="s">
        <v>76</v>
      </c>
      <c r="X53" s="14">
        <v>5032000</v>
      </c>
    </row>
    <row r="54" spans="1:24">
      <c r="A54" s="1" t="s">
        <v>11</v>
      </c>
      <c r="B54" s="10">
        <v>5050</v>
      </c>
      <c r="C54" s="10" t="s">
        <v>91</v>
      </c>
      <c r="D54" s="1" t="s">
        <v>72</v>
      </c>
      <c r="E54" s="11">
        <f t="shared" si="4"/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">
        <v>5032000</v>
      </c>
      <c r="S54" s="1" t="s">
        <v>73</v>
      </c>
      <c r="T54" s="1" t="s">
        <v>72</v>
      </c>
      <c r="U54" s="1" t="s">
        <v>74</v>
      </c>
      <c r="V54" s="1" t="s">
        <v>75</v>
      </c>
      <c r="W54" s="1" t="s">
        <v>76</v>
      </c>
      <c r="X54" s="14">
        <v>5032000</v>
      </c>
    </row>
    <row r="55" spans="1:24">
      <c r="A55" s="1" t="s">
        <v>11</v>
      </c>
      <c r="B55" s="10">
        <v>5052</v>
      </c>
      <c r="C55" s="10" t="s">
        <v>92</v>
      </c>
      <c r="D55" s="1" t="s">
        <v>72</v>
      </c>
      <c r="E55" s="11">
        <f t="shared" si="4"/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">
        <v>5032000</v>
      </c>
      <c r="S55" s="1" t="s">
        <v>73</v>
      </c>
      <c r="T55" s="1" t="s">
        <v>72</v>
      </c>
      <c r="U55" s="1" t="s">
        <v>74</v>
      </c>
      <c r="V55" s="1" t="s">
        <v>75</v>
      </c>
      <c r="W55" s="1" t="s">
        <v>76</v>
      </c>
      <c r="X55" s="14">
        <v>5032000</v>
      </c>
    </row>
    <row r="56" spans="1:24">
      <c r="A56" s="1" t="s">
        <v>11</v>
      </c>
      <c r="B56" s="10">
        <v>5068</v>
      </c>
      <c r="C56" s="10" t="s">
        <v>93</v>
      </c>
      <c r="D56" s="1" t="s">
        <v>72</v>
      </c>
      <c r="E56" s="11">
        <f t="shared" si="4"/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">
        <v>5032000</v>
      </c>
      <c r="S56" s="1" t="s">
        <v>73</v>
      </c>
      <c r="T56" s="1" t="s">
        <v>72</v>
      </c>
      <c r="U56" s="1" t="s">
        <v>74</v>
      </c>
      <c r="V56" s="1" t="s">
        <v>75</v>
      </c>
      <c r="W56" s="1" t="s">
        <v>76</v>
      </c>
      <c r="X56" s="14">
        <v>5032000</v>
      </c>
    </row>
    <row r="57" spans="1:24">
      <c r="A57" s="1" t="s">
        <v>11</v>
      </c>
      <c r="B57" s="10">
        <v>5070</v>
      </c>
      <c r="C57" s="10" t="s">
        <v>95</v>
      </c>
      <c r="D57" s="1" t="s">
        <v>72</v>
      </c>
      <c r="E57" s="11">
        <f t="shared" si="4"/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">
        <v>5032000</v>
      </c>
      <c r="S57" s="1" t="s">
        <v>73</v>
      </c>
      <c r="T57" s="1" t="s">
        <v>72</v>
      </c>
      <c r="U57" s="1" t="s">
        <v>74</v>
      </c>
      <c r="V57" s="1" t="s">
        <v>75</v>
      </c>
      <c r="W57" s="1" t="s">
        <v>76</v>
      </c>
      <c r="X57" s="14">
        <v>5032000</v>
      </c>
    </row>
    <row r="58" spans="1:24">
      <c r="A58" s="1" t="s">
        <v>11</v>
      </c>
      <c r="B58" s="10">
        <v>5072</v>
      </c>
      <c r="C58" s="10" t="s">
        <v>96</v>
      </c>
      <c r="D58" s="1" t="s">
        <v>72</v>
      </c>
      <c r="E58" s="11">
        <f t="shared" si="4"/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">
        <v>5032000</v>
      </c>
      <c r="S58" s="1" t="s">
        <v>73</v>
      </c>
      <c r="T58" s="1" t="s">
        <v>72</v>
      </c>
      <c r="U58" s="1" t="s">
        <v>74</v>
      </c>
      <c r="V58" s="1" t="s">
        <v>75</v>
      </c>
      <c r="W58" s="1" t="s">
        <v>76</v>
      </c>
      <c r="X58" s="14">
        <v>5032000</v>
      </c>
    </row>
    <row r="59" spans="1:24">
      <c r="A59" s="1" t="s">
        <v>11</v>
      </c>
      <c r="B59" s="10">
        <v>5100</v>
      </c>
      <c r="C59" s="10" t="s">
        <v>97</v>
      </c>
      <c r="D59" s="1" t="s">
        <v>72</v>
      </c>
      <c r="E59" s="11">
        <f t="shared" si="4"/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">
        <v>5032000</v>
      </c>
      <c r="S59" s="1" t="s">
        <v>73</v>
      </c>
      <c r="T59" s="1" t="s">
        <v>72</v>
      </c>
      <c r="U59" s="1" t="s">
        <v>74</v>
      </c>
      <c r="V59" s="1" t="s">
        <v>75</v>
      </c>
      <c r="W59" s="1" t="s">
        <v>76</v>
      </c>
      <c r="X59" s="14">
        <v>5032000</v>
      </c>
    </row>
    <row r="60" spans="1:24">
      <c r="A60" s="1" t="s">
        <v>11</v>
      </c>
      <c r="B60" s="10">
        <v>5110</v>
      </c>
      <c r="C60" s="10" t="s">
        <v>99</v>
      </c>
      <c r="D60" s="1" t="s">
        <v>72</v>
      </c>
      <c r="E60" s="11">
        <f t="shared" si="4"/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">
        <v>5032000</v>
      </c>
      <c r="S60" s="1" t="s">
        <v>73</v>
      </c>
      <c r="T60" s="1" t="s">
        <v>72</v>
      </c>
      <c r="U60" s="1" t="s">
        <v>74</v>
      </c>
      <c r="V60" s="1" t="s">
        <v>75</v>
      </c>
      <c r="W60" s="1" t="s">
        <v>76</v>
      </c>
      <c r="X60" s="14">
        <v>5032000</v>
      </c>
    </row>
    <row r="61" spans="1:24">
      <c r="A61" s="1" t="s">
        <v>11</v>
      </c>
      <c r="B61" s="10">
        <v>5120</v>
      </c>
      <c r="C61" s="10" t="s">
        <v>100</v>
      </c>
      <c r="D61" s="1" t="s">
        <v>72</v>
      </c>
      <c r="E61" s="11">
        <f t="shared" si="4"/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">
        <v>5032000</v>
      </c>
      <c r="S61" s="1" t="s">
        <v>73</v>
      </c>
      <c r="T61" s="1" t="s">
        <v>72</v>
      </c>
      <c r="U61" s="1" t="s">
        <v>74</v>
      </c>
      <c r="V61" s="1" t="s">
        <v>75</v>
      </c>
      <c r="W61" s="1" t="s">
        <v>76</v>
      </c>
      <c r="X61" s="14">
        <v>5032000</v>
      </c>
    </row>
    <row r="62" spans="1:24">
      <c r="A62" s="1" t="s">
        <v>11</v>
      </c>
      <c r="B62" s="10">
        <v>5200</v>
      </c>
      <c r="C62" s="10" t="s">
        <v>101</v>
      </c>
      <c r="D62" s="1" t="s">
        <v>72</v>
      </c>
      <c r="E62" s="11">
        <f t="shared" si="4"/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">
        <v>5032000</v>
      </c>
      <c r="S62" s="1" t="s">
        <v>73</v>
      </c>
      <c r="T62" s="1" t="s">
        <v>72</v>
      </c>
      <c r="U62" s="1" t="s">
        <v>74</v>
      </c>
      <c r="V62" s="1" t="s">
        <v>75</v>
      </c>
      <c r="W62" s="1" t="s">
        <v>76</v>
      </c>
      <c r="X62" s="14">
        <v>5032000</v>
      </c>
    </row>
    <row r="63" spans="1:24">
      <c r="A63" s="1" t="s">
        <v>11</v>
      </c>
      <c r="B63" s="10">
        <v>5220</v>
      </c>
      <c r="C63" s="10" t="s">
        <v>103</v>
      </c>
      <c r="D63" s="1" t="s">
        <v>72</v>
      </c>
      <c r="E63" s="11">
        <f t="shared" si="4"/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">
        <v>5032000</v>
      </c>
      <c r="S63" s="1" t="s">
        <v>73</v>
      </c>
      <c r="T63" s="1" t="s">
        <v>72</v>
      </c>
      <c r="U63" s="1" t="s">
        <v>74</v>
      </c>
      <c r="V63" s="1" t="s">
        <v>75</v>
      </c>
      <c r="W63" s="1" t="s">
        <v>76</v>
      </c>
      <c r="X63" s="14">
        <v>5032000</v>
      </c>
    </row>
    <row r="64" spans="1:24">
      <c r="A64" s="1" t="s">
        <v>11</v>
      </c>
      <c r="B64" s="10">
        <v>5210</v>
      </c>
      <c r="C64" s="10" t="s">
        <v>104</v>
      </c>
      <c r="D64" s="1" t="s">
        <v>72</v>
      </c>
      <c r="E64" s="11">
        <f t="shared" si="4"/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">
        <v>5032000</v>
      </c>
      <c r="S64" s="1" t="s">
        <v>73</v>
      </c>
      <c r="T64" s="1" t="s">
        <v>72</v>
      </c>
      <c r="U64" s="1" t="s">
        <v>74</v>
      </c>
      <c r="V64" s="1" t="s">
        <v>75</v>
      </c>
      <c r="W64" s="1" t="s">
        <v>76</v>
      </c>
      <c r="X64" s="14">
        <v>5032000</v>
      </c>
    </row>
    <row r="65" spans="1:24">
      <c r="A65" s="1" t="s">
        <v>11</v>
      </c>
      <c r="B65" s="10">
        <v>5260</v>
      </c>
      <c r="C65" s="10" t="s">
        <v>105</v>
      </c>
      <c r="D65" s="1" t="s">
        <v>72</v>
      </c>
      <c r="E65" s="11">
        <f t="shared" si="4"/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">
        <v>5051000</v>
      </c>
      <c r="S65" s="1" t="s">
        <v>107</v>
      </c>
      <c r="T65" s="1" t="s">
        <v>72</v>
      </c>
      <c r="U65" s="1" t="s">
        <v>108</v>
      </c>
      <c r="V65" s="1" t="s">
        <v>75</v>
      </c>
      <c r="W65" s="1" t="s">
        <v>109</v>
      </c>
      <c r="X65" s="14">
        <v>5051000</v>
      </c>
    </row>
    <row r="66" spans="1:24">
      <c r="A66" s="1" t="s">
        <v>11</v>
      </c>
      <c r="B66" s="10">
        <v>5270</v>
      </c>
      <c r="C66" s="10" t="s">
        <v>110</v>
      </c>
      <c r="D66" s="1" t="s">
        <v>72</v>
      </c>
      <c r="E66" s="11">
        <f t="shared" si="4"/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">
        <v>5052000</v>
      </c>
      <c r="S66" s="1" t="s">
        <v>111</v>
      </c>
      <c r="T66" s="1" t="s">
        <v>72</v>
      </c>
      <c r="U66" s="1" t="s">
        <v>108</v>
      </c>
      <c r="V66" s="1" t="s">
        <v>75</v>
      </c>
      <c r="W66" s="1" t="s">
        <v>109</v>
      </c>
      <c r="X66" s="14">
        <v>5052000</v>
      </c>
    </row>
    <row r="67" spans="1:24">
      <c r="A67" s="1" t="s">
        <v>11</v>
      </c>
      <c r="B67" s="10">
        <v>5300</v>
      </c>
      <c r="C67" s="10" t="s">
        <v>112</v>
      </c>
      <c r="D67" s="1" t="s">
        <v>72</v>
      </c>
      <c r="E67" s="11">
        <f t="shared" si="4"/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">
        <v>5032000</v>
      </c>
      <c r="S67" s="1" t="s">
        <v>73</v>
      </c>
      <c r="T67" s="1" t="s">
        <v>72</v>
      </c>
      <c r="U67" s="1" t="s">
        <v>74</v>
      </c>
      <c r="V67" s="1" t="s">
        <v>75</v>
      </c>
      <c r="W67" s="1" t="s">
        <v>76</v>
      </c>
      <c r="X67" s="14">
        <v>5032000</v>
      </c>
    </row>
    <row r="68" spans="1:24">
      <c r="A68" s="1" t="s">
        <v>11</v>
      </c>
      <c r="B68" s="10">
        <v>5310</v>
      </c>
      <c r="C68" s="10" t="s">
        <v>113</v>
      </c>
      <c r="D68" s="1" t="s">
        <v>72</v>
      </c>
      <c r="E68" s="11">
        <f t="shared" si="4"/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">
        <v>5032000</v>
      </c>
      <c r="S68" s="1" t="s">
        <v>73</v>
      </c>
      <c r="T68" s="1" t="s">
        <v>72</v>
      </c>
      <c r="U68" s="1" t="s">
        <v>74</v>
      </c>
      <c r="V68" s="1" t="s">
        <v>75</v>
      </c>
      <c r="W68" s="1" t="s">
        <v>76</v>
      </c>
      <c r="X68" s="14">
        <v>5032000</v>
      </c>
    </row>
    <row r="69" spans="1:24">
      <c r="A69" s="1" t="s">
        <v>11</v>
      </c>
      <c r="B69" s="10">
        <v>5320</v>
      </c>
      <c r="C69" s="10" t="s">
        <v>115</v>
      </c>
      <c r="D69" s="1" t="s">
        <v>72</v>
      </c>
      <c r="E69" s="11">
        <f t="shared" si="4"/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">
        <v>5032000</v>
      </c>
      <c r="S69" s="1" t="s">
        <v>73</v>
      </c>
      <c r="T69" s="1" t="s">
        <v>72</v>
      </c>
      <c r="U69" s="1" t="s">
        <v>74</v>
      </c>
      <c r="V69" s="1" t="s">
        <v>75</v>
      </c>
      <c r="W69" s="1" t="s">
        <v>76</v>
      </c>
      <c r="X69" s="14">
        <v>5032000</v>
      </c>
    </row>
    <row r="70" spans="1:24">
      <c r="A70" s="1" t="s">
        <v>11</v>
      </c>
      <c r="B70" s="10">
        <v>5812</v>
      </c>
      <c r="C70" s="10" t="s">
        <v>116</v>
      </c>
      <c r="D70" s="1" t="s">
        <v>72</v>
      </c>
      <c r="E70" s="11">
        <f t="shared" si="4"/>
        <v>-224482.24209890745</v>
      </c>
      <c r="F70" s="12">
        <v>-18706.853508242286</v>
      </c>
      <c r="G70" s="12">
        <v>-18706.853508242286</v>
      </c>
      <c r="H70" s="12">
        <v>-18706.853508242286</v>
      </c>
      <c r="I70" s="12">
        <v>-18706.853508242286</v>
      </c>
      <c r="J70" s="12">
        <v>-18706.853508242286</v>
      </c>
      <c r="K70" s="12">
        <v>-18706.853508242286</v>
      </c>
      <c r="L70" s="12">
        <v>-18706.853508242286</v>
      </c>
      <c r="M70" s="12">
        <v>-18706.853508242286</v>
      </c>
      <c r="N70" s="12">
        <v>-18706.853508242286</v>
      </c>
      <c r="O70" s="12">
        <v>-18706.853508242286</v>
      </c>
      <c r="P70" s="12">
        <v>-18706.853508242286</v>
      </c>
      <c r="Q70" s="12">
        <v>-18706.853508242286</v>
      </c>
      <c r="R70" s="1">
        <v>5051000</v>
      </c>
      <c r="S70" s="1" t="s">
        <v>107</v>
      </c>
      <c r="T70" s="1" t="s">
        <v>72</v>
      </c>
      <c r="U70" s="1" t="s">
        <v>108</v>
      </c>
      <c r="V70" s="1" t="s">
        <v>75</v>
      </c>
      <c r="W70" s="1" t="s">
        <v>109</v>
      </c>
      <c r="X70" s="14">
        <v>5051000</v>
      </c>
    </row>
    <row r="71" spans="1:24">
      <c r="A71" s="1" t="s">
        <v>11</v>
      </c>
      <c r="B71" s="10">
        <v>5811</v>
      </c>
      <c r="C71" s="10" t="s">
        <v>117</v>
      </c>
      <c r="D71" s="1" t="s">
        <v>72</v>
      </c>
      <c r="E71" s="11">
        <f t="shared" si="4"/>
        <v>-62356.178360807622</v>
      </c>
      <c r="F71" s="12">
        <v>-5196.3481967339685</v>
      </c>
      <c r="G71" s="12">
        <v>-5196.3481967339685</v>
      </c>
      <c r="H71" s="12">
        <v>-5196.3481967339685</v>
      </c>
      <c r="I71" s="12">
        <v>-5196.3481967339685</v>
      </c>
      <c r="J71" s="12">
        <v>-5196.3481967339685</v>
      </c>
      <c r="K71" s="12">
        <v>-5196.3481967339685</v>
      </c>
      <c r="L71" s="12">
        <v>-5196.3481967339685</v>
      </c>
      <c r="M71" s="12">
        <v>-5196.3481967339685</v>
      </c>
      <c r="N71" s="12">
        <v>-5196.3481967339685</v>
      </c>
      <c r="O71" s="12">
        <v>-5196.3481967339685</v>
      </c>
      <c r="P71" s="12">
        <v>-5196.3481967339685</v>
      </c>
      <c r="Q71" s="12">
        <v>-5196.3481967339685</v>
      </c>
      <c r="R71" s="1">
        <v>5022000</v>
      </c>
      <c r="S71" s="1" t="s">
        <v>118</v>
      </c>
      <c r="T71" s="1" t="s">
        <v>72</v>
      </c>
      <c r="U71" s="1" t="s">
        <v>119</v>
      </c>
      <c r="V71" s="1" t="s">
        <v>75</v>
      </c>
      <c r="W71" s="1" t="s">
        <v>120</v>
      </c>
      <c r="X71" s="14">
        <v>5022000</v>
      </c>
    </row>
    <row r="72" spans="1:24">
      <c r="A72" s="1" t="s">
        <v>11</v>
      </c>
      <c r="B72" s="10">
        <v>5813</v>
      </c>
      <c r="C72" s="10" t="s">
        <v>121</v>
      </c>
      <c r="D72" s="1" t="s">
        <v>72</v>
      </c>
      <c r="E72" s="11">
        <f t="shared" si="4"/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">
        <v>5022000</v>
      </c>
      <c r="S72" s="1" t="s">
        <v>118</v>
      </c>
      <c r="T72" s="1" t="s">
        <v>72</v>
      </c>
      <c r="U72" s="1" t="s">
        <v>119</v>
      </c>
      <c r="V72" s="1" t="s">
        <v>75</v>
      </c>
      <c r="W72" s="1" t="s">
        <v>109</v>
      </c>
      <c r="X72" s="14">
        <v>5022000</v>
      </c>
    </row>
    <row r="73" spans="1:24">
      <c r="A73" s="1" t="s">
        <v>11</v>
      </c>
      <c r="B73" s="10">
        <v>5551</v>
      </c>
      <c r="C73" s="10" t="s">
        <v>122</v>
      </c>
      <c r="D73" s="1" t="s">
        <v>72</v>
      </c>
      <c r="E73" s="11">
        <f t="shared" si="4"/>
        <v>-231675.22186666672</v>
      </c>
      <c r="F73" s="12">
        <v>-20042.612800000003</v>
      </c>
      <c r="G73" s="12">
        <v>-20042.612800000003</v>
      </c>
      <c r="H73" s="12">
        <v>-20042.612800000003</v>
      </c>
      <c r="I73" s="12">
        <v>-20042.612800000003</v>
      </c>
      <c r="J73" s="12">
        <v>-20042.612800000003</v>
      </c>
      <c r="K73" s="12">
        <v>-20042.612800000003</v>
      </c>
      <c r="L73" s="12">
        <v>-20042.612800000003</v>
      </c>
      <c r="M73" s="12">
        <v>-20768.466133333335</v>
      </c>
      <c r="N73" s="12">
        <v>-20768.466133333335</v>
      </c>
      <c r="O73" s="12">
        <v>-16613.333333333336</v>
      </c>
      <c r="P73" s="12">
        <v>-16613.333333333336</v>
      </c>
      <c r="Q73" s="12">
        <v>-16613.333333333336</v>
      </c>
      <c r="R73" s="1">
        <v>5540000</v>
      </c>
      <c r="S73" s="1" t="s">
        <v>123</v>
      </c>
      <c r="T73" s="1" t="s">
        <v>72</v>
      </c>
      <c r="U73" s="1" t="s">
        <v>124</v>
      </c>
      <c r="V73" s="1" t="s">
        <v>125</v>
      </c>
      <c r="W73" s="1" t="s">
        <v>126</v>
      </c>
      <c r="X73" s="14">
        <v>5540000</v>
      </c>
    </row>
    <row r="74" spans="1:24">
      <c r="A74" s="1" t="s">
        <v>11</v>
      </c>
      <c r="B74" s="10">
        <v>5265</v>
      </c>
      <c r="C74" s="10" t="s">
        <v>127</v>
      </c>
      <c r="D74" s="1" t="s">
        <v>72</v>
      </c>
      <c r="E74" s="11">
        <f t="shared" si="4"/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">
        <v>5540000</v>
      </c>
      <c r="S74" s="1" t="s">
        <v>123</v>
      </c>
      <c r="T74" s="1" t="s">
        <v>72</v>
      </c>
      <c r="U74" s="1" t="s">
        <v>124</v>
      </c>
      <c r="V74" s="1" t="s">
        <v>129</v>
      </c>
      <c r="W74" s="1" t="s">
        <v>126</v>
      </c>
      <c r="X74" s="14">
        <v>5540000</v>
      </c>
    </row>
    <row r="75" spans="1:24">
      <c r="A75" s="1" t="s">
        <v>11</v>
      </c>
      <c r="B75" s="10">
        <v>5266</v>
      </c>
      <c r="C75" s="10" t="s">
        <v>130</v>
      </c>
      <c r="D75" s="1" t="s">
        <v>72</v>
      </c>
      <c r="E75" s="11">
        <f t="shared" si="4"/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">
        <v>5540000</v>
      </c>
      <c r="S75" s="1" t="s">
        <v>123</v>
      </c>
      <c r="T75" s="1" t="s">
        <v>72</v>
      </c>
      <c r="U75" s="1" t="s">
        <v>124</v>
      </c>
      <c r="V75" s="1" t="s">
        <v>129</v>
      </c>
      <c r="W75" s="1" t="s">
        <v>126</v>
      </c>
      <c r="X75" s="14">
        <v>5540000</v>
      </c>
    </row>
    <row r="76" spans="1:24">
      <c r="A76" s="1" t="s">
        <v>11</v>
      </c>
      <c r="B76" s="10">
        <v>5267</v>
      </c>
      <c r="C76" s="10" t="s">
        <v>131</v>
      </c>
      <c r="D76" s="1" t="s">
        <v>72</v>
      </c>
      <c r="E76" s="11">
        <f t="shared" si="4"/>
        <v>-64916.063577725006</v>
      </c>
      <c r="F76" s="12">
        <v>-5409.6719648104163</v>
      </c>
      <c r="G76" s="12">
        <v>-5409.6719648104163</v>
      </c>
      <c r="H76" s="12">
        <v>-5409.6719648104163</v>
      </c>
      <c r="I76" s="12">
        <v>-5409.6719648104163</v>
      </c>
      <c r="J76" s="12">
        <v>-5409.6719648104163</v>
      </c>
      <c r="K76" s="12">
        <v>-5409.6719648104163</v>
      </c>
      <c r="L76" s="12">
        <v>-5409.6719648104163</v>
      </c>
      <c r="M76" s="12">
        <v>-5409.6719648104163</v>
      </c>
      <c r="N76" s="12">
        <v>-5409.6719648104163</v>
      </c>
      <c r="O76" s="12">
        <v>-5409.6719648104163</v>
      </c>
      <c r="P76" s="12">
        <v>-5409.6719648104163</v>
      </c>
      <c r="Q76" s="12">
        <v>-5409.6719648104163</v>
      </c>
      <c r="R76" s="1">
        <v>5540000</v>
      </c>
      <c r="S76" s="1" t="s">
        <v>123</v>
      </c>
      <c r="T76" s="1" t="s">
        <v>72</v>
      </c>
      <c r="U76" s="1" t="s">
        <v>124</v>
      </c>
      <c r="V76" s="1" t="s">
        <v>129</v>
      </c>
      <c r="W76" s="1" t="s">
        <v>126</v>
      </c>
      <c r="X76" s="14">
        <v>5540000</v>
      </c>
    </row>
    <row r="77" spans="1:24">
      <c r="A77" s="1" t="s">
        <v>11</v>
      </c>
      <c r="B77" s="10">
        <v>5450</v>
      </c>
      <c r="C77" s="10" t="s">
        <v>132</v>
      </c>
      <c r="D77" s="1" t="s">
        <v>72</v>
      </c>
      <c r="E77" s="11">
        <f t="shared" si="4"/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">
        <v>5540000</v>
      </c>
      <c r="S77" s="1" t="s">
        <v>123</v>
      </c>
      <c r="T77" s="1" t="s">
        <v>72</v>
      </c>
      <c r="U77" s="1" t="s">
        <v>124</v>
      </c>
      <c r="V77" s="1" t="s">
        <v>125</v>
      </c>
      <c r="W77" s="1" t="s">
        <v>126</v>
      </c>
      <c r="X77" s="14">
        <v>5540000</v>
      </c>
    </row>
    <row r="78" spans="1:24">
      <c r="A78" s="1" t="s">
        <v>11</v>
      </c>
      <c r="B78" s="10">
        <v>5455</v>
      </c>
      <c r="C78" s="10" t="s">
        <v>133</v>
      </c>
      <c r="D78" s="1" t="s">
        <v>72</v>
      </c>
      <c r="E78" s="11">
        <f t="shared" si="4"/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">
        <v>5540000</v>
      </c>
      <c r="S78" s="1" t="s">
        <v>123</v>
      </c>
      <c r="T78" s="1" t="s">
        <v>72</v>
      </c>
      <c r="U78" s="1" t="s">
        <v>124</v>
      </c>
      <c r="V78" s="1" t="s">
        <v>125</v>
      </c>
      <c r="W78" s="1" t="s">
        <v>126</v>
      </c>
      <c r="X78" s="14">
        <v>5540000</v>
      </c>
    </row>
    <row r="79" spans="1:24">
      <c r="A79" s="1" t="s">
        <v>11</v>
      </c>
      <c r="B79" s="10">
        <v>5460</v>
      </c>
      <c r="C79" s="10" t="s">
        <v>134</v>
      </c>
      <c r="D79" s="1" t="s">
        <v>72</v>
      </c>
      <c r="E79" s="11">
        <f t="shared" si="4"/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">
        <v>5540000</v>
      </c>
      <c r="S79" s="1" t="s">
        <v>123</v>
      </c>
      <c r="T79" s="1" t="s">
        <v>72</v>
      </c>
      <c r="U79" s="1" t="s">
        <v>124</v>
      </c>
      <c r="V79" s="1" t="s">
        <v>129</v>
      </c>
      <c r="W79" s="1" t="s">
        <v>126</v>
      </c>
      <c r="X79" s="14">
        <v>5540000</v>
      </c>
    </row>
    <row r="80" spans="1:24">
      <c r="A80" s="1" t="s">
        <v>11</v>
      </c>
      <c r="B80" s="10">
        <v>5470</v>
      </c>
      <c r="C80" s="10" t="s">
        <v>135</v>
      </c>
      <c r="D80" s="1" t="s">
        <v>72</v>
      </c>
      <c r="E80" s="11">
        <f t="shared" si="4"/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">
        <v>5540000</v>
      </c>
      <c r="S80" s="1" t="s">
        <v>123</v>
      </c>
      <c r="T80" s="1" t="s">
        <v>72</v>
      </c>
      <c r="U80" s="1" t="s">
        <v>124</v>
      </c>
      <c r="V80" s="1" t="s">
        <v>125</v>
      </c>
      <c r="W80" s="1" t="s">
        <v>126</v>
      </c>
      <c r="X80" s="14">
        <v>5540000</v>
      </c>
    </row>
    <row r="81" spans="1:24">
      <c r="A81" s="1" t="s">
        <v>11</v>
      </c>
      <c r="B81" s="26">
        <v>5475</v>
      </c>
      <c r="C81" s="26" t="s">
        <v>136</v>
      </c>
      <c r="D81" s="1" t="s">
        <v>72</v>
      </c>
      <c r="E81" s="11">
        <f t="shared" si="4"/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">
        <v>5540000</v>
      </c>
      <c r="S81" s="1" t="s">
        <v>123</v>
      </c>
      <c r="T81" s="1" t="s">
        <v>72</v>
      </c>
      <c r="U81" s="1" t="s">
        <v>124</v>
      </c>
      <c r="V81" s="1" t="s">
        <v>137</v>
      </c>
      <c r="W81" s="1" t="s">
        <v>126</v>
      </c>
      <c r="X81" s="14">
        <v>5540000</v>
      </c>
    </row>
    <row r="82" spans="1:24">
      <c r="A82" s="1" t="s">
        <v>11</v>
      </c>
      <c r="B82" s="10">
        <v>5480</v>
      </c>
      <c r="C82" s="10" t="s">
        <v>138</v>
      </c>
      <c r="D82" s="1" t="s">
        <v>72</v>
      </c>
      <c r="E82" s="11">
        <f t="shared" si="4"/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">
        <v>5540000</v>
      </c>
      <c r="S82" s="1" t="s">
        <v>123</v>
      </c>
      <c r="T82" s="1" t="s">
        <v>72</v>
      </c>
      <c r="U82" s="1" t="s">
        <v>124</v>
      </c>
      <c r="V82" s="1" t="s">
        <v>125</v>
      </c>
      <c r="W82" s="1" t="s">
        <v>126</v>
      </c>
      <c r="X82" s="14">
        <v>5540000</v>
      </c>
    </row>
    <row r="83" spans="1:24">
      <c r="A83" s="1" t="s">
        <v>11</v>
      </c>
      <c r="B83" s="10">
        <v>5490</v>
      </c>
      <c r="C83" s="10" t="s">
        <v>139</v>
      </c>
      <c r="D83" s="1" t="s">
        <v>72</v>
      </c>
      <c r="E83" s="11">
        <f t="shared" si="4"/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">
        <v>5562000</v>
      </c>
      <c r="S83" s="1" t="s">
        <v>140</v>
      </c>
      <c r="T83" s="1" t="s">
        <v>72</v>
      </c>
      <c r="U83" s="1" t="s">
        <v>141</v>
      </c>
      <c r="V83" s="1" t="s">
        <v>129</v>
      </c>
      <c r="W83" s="1" t="e">
        <v>#N/A</v>
      </c>
      <c r="X83" s="14">
        <v>5562000</v>
      </c>
    </row>
    <row r="84" spans="1:24">
      <c r="A84" s="1" t="s">
        <v>11</v>
      </c>
      <c r="B84" s="10">
        <v>5495</v>
      </c>
      <c r="C84" s="10" t="s">
        <v>142</v>
      </c>
      <c r="D84" s="1" t="s">
        <v>72</v>
      </c>
      <c r="E84" s="11">
        <f t="shared" si="4"/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">
        <v>5061000</v>
      </c>
      <c r="S84" s="1" t="s">
        <v>143</v>
      </c>
      <c r="T84" s="1" t="s">
        <v>72</v>
      </c>
      <c r="U84" s="1" t="s">
        <v>144</v>
      </c>
      <c r="V84" s="1" t="s">
        <v>129</v>
      </c>
      <c r="W84" s="1" t="s">
        <v>120</v>
      </c>
      <c r="X84" s="14">
        <v>5061000</v>
      </c>
    </row>
    <row r="85" spans="1:24">
      <c r="A85" s="1" t="s">
        <v>11</v>
      </c>
      <c r="B85" s="10">
        <v>5492</v>
      </c>
      <c r="C85" s="10" t="s">
        <v>145</v>
      </c>
      <c r="D85" s="1" t="s">
        <v>72</v>
      </c>
      <c r="E85" s="11">
        <f t="shared" si="4"/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">
        <v>5540000</v>
      </c>
      <c r="S85" s="1" t="s">
        <v>123</v>
      </c>
      <c r="T85" s="1" t="s">
        <v>72</v>
      </c>
      <c r="U85" s="1" t="s">
        <v>124</v>
      </c>
      <c r="V85" s="1" t="s">
        <v>125</v>
      </c>
      <c r="W85" s="1" t="s">
        <v>126</v>
      </c>
      <c r="X85" s="14">
        <v>5540000</v>
      </c>
    </row>
    <row r="86" spans="1:24">
      <c r="A86" s="1" t="s">
        <v>11</v>
      </c>
      <c r="B86" s="10">
        <v>5424</v>
      </c>
      <c r="C86" s="10" t="s">
        <v>146</v>
      </c>
      <c r="D86" s="1" t="s">
        <v>72</v>
      </c>
      <c r="E86" s="11">
        <f t="shared" si="4"/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">
        <v>5540000</v>
      </c>
      <c r="S86" s="1" t="s">
        <v>123</v>
      </c>
      <c r="T86" s="1" t="s">
        <v>72</v>
      </c>
      <c r="U86" s="1" t="s">
        <v>124</v>
      </c>
      <c r="V86" s="1" t="s">
        <v>129</v>
      </c>
      <c r="W86" s="1" t="s">
        <v>126</v>
      </c>
      <c r="X86" s="14">
        <v>5540000</v>
      </c>
    </row>
    <row r="87" spans="1:24">
      <c r="A87" s="1" t="s">
        <v>11</v>
      </c>
      <c r="B87" s="10">
        <v>5425</v>
      </c>
      <c r="C87" s="10" t="s">
        <v>147</v>
      </c>
      <c r="D87" s="1" t="s">
        <v>72</v>
      </c>
      <c r="E87" s="11">
        <f t="shared" si="4"/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">
        <v>5540000</v>
      </c>
      <c r="S87" s="1" t="s">
        <v>123</v>
      </c>
      <c r="T87" s="1" t="s">
        <v>72</v>
      </c>
      <c r="U87" s="1" t="s">
        <v>124</v>
      </c>
      <c r="V87" s="1" t="s">
        <v>129</v>
      </c>
      <c r="W87" s="1" t="s">
        <v>126</v>
      </c>
      <c r="X87" s="14">
        <v>5540000</v>
      </c>
    </row>
    <row r="88" spans="1:24" s="15" customFormat="1">
      <c r="A88" s="15" t="s">
        <v>44</v>
      </c>
      <c r="B88" s="16">
        <v>40001</v>
      </c>
      <c r="C88" s="16" t="s">
        <v>149</v>
      </c>
      <c r="D88" s="15" t="s">
        <v>72</v>
      </c>
      <c r="E88" s="17">
        <f t="shared" si="4"/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5">
        <v>5032000</v>
      </c>
      <c r="S88" s="15" t="s">
        <v>73</v>
      </c>
      <c r="T88" s="15" t="s">
        <v>72</v>
      </c>
      <c r="U88" s="15" t="s">
        <v>74</v>
      </c>
      <c r="V88" s="15" t="s">
        <v>75</v>
      </c>
      <c r="W88" s="15" t="s">
        <v>76</v>
      </c>
      <c r="X88" s="19">
        <v>5032000</v>
      </c>
    </row>
    <row r="89" spans="1:24" s="15" customFormat="1">
      <c r="A89" s="15" t="s">
        <v>44</v>
      </c>
      <c r="B89" s="16">
        <v>40009</v>
      </c>
      <c r="C89" s="16" t="s">
        <v>150</v>
      </c>
      <c r="D89" s="15" t="s">
        <v>72</v>
      </c>
      <c r="E89" s="17">
        <f t="shared" si="4"/>
        <v>-19691.424745518198</v>
      </c>
      <c r="F89" s="18">
        <v>-1640.9520621265165</v>
      </c>
      <c r="G89" s="18">
        <v>-1640.9520621265165</v>
      </c>
      <c r="H89" s="18">
        <v>-1640.9520621265165</v>
      </c>
      <c r="I89" s="18">
        <v>-1640.9520621265165</v>
      </c>
      <c r="J89" s="18">
        <v>-1640.9520621265165</v>
      </c>
      <c r="K89" s="18">
        <v>-1640.9520621265165</v>
      </c>
      <c r="L89" s="18">
        <v>-1640.9520621265165</v>
      </c>
      <c r="M89" s="18">
        <v>-1640.9520621265165</v>
      </c>
      <c r="N89" s="18">
        <v>-1640.9520621265165</v>
      </c>
      <c r="O89" s="18">
        <v>-1640.9520621265165</v>
      </c>
      <c r="P89" s="18">
        <v>-1640.9520621265165</v>
      </c>
      <c r="Q89" s="18">
        <v>-1640.9520621265165</v>
      </c>
      <c r="R89" s="15">
        <v>5061000</v>
      </c>
      <c r="S89" s="15" t="s">
        <v>143</v>
      </c>
      <c r="T89" s="15" t="s">
        <v>72</v>
      </c>
      <c r="U89" s="15" t="s">
        <v>144</v>
      </c>
      <c r="V89" s="15" t="s">
        <v>75</v>
      </c>
      <c r="W89" s="15" t="s">
        <v>120</v>
      </c>
      <c r="X89" s="19">
        <v>5061000</v>
      </c>
    </row>
    <row r="90" spans="1:24" s="15" customFormat="1">
      <c r="A90" s="15" t="s">
        <v>44</v>
      </c>
      <c r="B90" s="16">
        <v>40011</v>
      </c>
      <c r="C90" s="16" t="s">
        <v>152</v>
      </c>
      <c r="D90" s="15" t="s">
        <v>72</v>
      </c>
      <c r="E90" s="17">
        <f t="shared" si="4"/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5">
        <v>5032000</v>
      </c>
      <c r="S90" s="15" t="s">
        <v>73</v>
      </c>
      <c r="T90" s="15" t="s">
        <v>72</v>
      </c>
      <c r="U90" s="15" t="s">
        <v>74</v>
      </c>
      <c r="V90" s="15" t="s">
        <v>75</v>
      </c>
      <c r="W90" s="15" t="s">
        <v>76</v>
      </c>
      <c r="X90" s="19">
        <v>5032000</v>
      </c>
    </row>
    <row r="91" spans="1:24" s="15" customFormat="1">
      <c r="A91" s="15" t="s">
        <v>44</v>
      </c>
      <c r="B91" s="16">
        <v>40020</v>
      </c>
      <c r="C91" s="16" t="s">
        <v>154</v>
      </c>
      <c r="D91" s="15" t="s">
        <v>72</v>
      </c>
      <c r="E91" s="17">
        <f t="shared" si="4"/>
        <v>-248374.50412346955</v>
      </c>
      <c r="F91" s="18">
        <v>-20697.875343622462</v>
      </c>
      <c r="G91" s="18">
        <v>-20697.875343622462</v>
      </c>
      <c r="H91" s="18">
        <v>-20697.875343622462</v>
      </c>
      <c r="I91" s="18">
        <v>-20697.875343622462</v>
      </c>
      <c r="J91" s="18">
        <v>-20697.875343622462</v>
      </c>
      <c r="K91" s="18">
        <v>-20697.875343622462</v>
      </c>
      <c r="L91" s="18">
        <v>-20697.875343622462</v>
      </c>
      <c r="M91" s="18">
        <v>-20697.875343622462</v>
      </c>
      <c r="N91" s="18">
        <v>-20697.875343622462</v>
      </c>
      <c r="O91" s="18">
        <v>-20697.875343622462</v>
      </c>
      <c r="P91" s="18">
        <v>-20697.875343622462</v>
      </c>
      <c r="Q91" s="18">
        <v>-20697.875343622462</v>
      </c>
      <c r="R91" s="15">
        <v>5032000</v>
      </c>
      <c r="S91" s="15" t="s">
        <v>73</v>
      </c>
      <c r="T91" s="15" t="s">
        <v>72</v>
      </c>
      <c r="U91" s="15" t="s">
        <v>74</v>
      </c>
      <c r="V91" s="15" t="s">
        <v>75</v>
      </c>
      <c r="W91" s="15" t="s">
        <v>76</v>
      </c>
      <c r="X91" s="19">
        <v>5032000</v>
      </c>
    </row>
    <row r="92" spans="1:24" s="15" customFormat="1">
      <c r="A92" s="15" t="s">
        <v>44</v>
      </c>
      <c r="B92" s="16">
        <v>40050</v>
      </c>
      <c r="C92" s="16" t="s">
        <v>156</v>
      </c>
      <c r="D92" s="15" t="s">
        <v>72</v>
      </c>
      <c r="E92" s="17">
        <f t="shared" si="4"/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5">
        <v>5041000</v>
      </c>
      <c r="S92" s="15" t="s">
        <v>38</v>
      </c>
      <c r="T92" s="15" t="s">
        <v>72</v>
      </c>
      <c r="U92" s="15" t="s">
        <v>158</v>
      </c>
      <c r="V92" s="15" t="s">
        <v>75</v>
      </c>
      <c r="W92" s="15" t="s">
        <v>159</v>
      </c>
      <c r="X92" s="19">
        <v>5041000</v>
      </c>
    </row>
    <row r="93" spans="1:24" s="15" customFormat="1">
      <c r="A93" s="15" t="s">
        <v>44</v>
      </c>
      <c r="B93" s="16">
        <v>40070</v>
      </c>
      <c r="C93" s="16" t="s">
        <v>160</v>
      </c>
      <c r="D93" s="15" t="s">
        <v>72</v>
      </c>
      <c r="E93" s="17">
        <f t="shared" si="4"/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5">
        <v>5052000</v>
      </c>
      <c r="S93" s="15" t="s">
        <v>111</v>
      </c>
      <c r="T93" s="15" t="s">
        <v>72</v>
      </c>
      <c r="U93" s="15" t="s">
        <v>108</v>
      </c>
      <c r="V93" s="15" t="e">
        <v>#N/A</v>
      </c>
      <c r="W93" s="15" t="e">
        <v>#N/A</v>
      </c>
      <c r="X93" s="19">
        <v>5052000</v>
      </c>
    </row>
    <row r="94" spans="1:24" s="15" customFormat="1">
      <c r="A94" s="15" t="s">
        <v>44</v>
      </c>
      <c r="B94" s="16">
        <v>41001</v>
      </c>
      <c r="C94" s="16" t="s">
        <v>162</v>
      </c>
      <c r="D94" s="15" t="s">
        <v>72</v>
      </c>
      <c r="E94" s="17">
        <f t="shared" si="4"/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5">
        <v>5032000</v>
      </c>
      <c r="S94" s="15" t="s">
        <v>73</v>
      </c>
      <c r="T94" s="15" t="s">
        <v>72</v>
      </c>
      <c r="U94" s="15" t="s">
        <v>74</v>
      </c>
      <c r="V94" s="15" t="s">
        <v>75</v>
      </c>
      <c r="W94" s="15" t="s">
        <v>76</v>
      </c>
      <c r="X94" s="19">
        <v>5032000</v>
      </c>
    </row>
    <row r="95" spans="1:24" s="15" customFormat="1">
      <c r="A95" s="15" t="s">
        <v>44</v>
      </c>
      <c r="B95" s="16">
        <v>41002</v>
      </c>
      <c r="C95" s="16" t="s">
        <v>163</v>
      </c>
      <c r="D95" s="15" t="s">
        <v>72</v>
      </c>
      <c r="E95" s="17">
        <f t="shared" si="4"/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5">
        <v>5032000</v>
      </c>
      <c r="S95" s="15" t="s">
        <v>73</v>
      </c>
      <c r="T95" s="15" t="s">
        <v>72</v>
      </c>
      <c r="U95" s="15" t="s">
        <v>74</v>
      </c>
      <c r="V95" s="15" t="s">
        <v>75</v>
      </c>
      <c r="W95" s="15" t="s">
        <v>76</v>
      </c>
      <c r="X95" s="19">
        <v>5032000</v>
      </c>
    </row>
    <row r="96" spans="1:24" s="15" customFormat="1">
      <c r="A96" s="15" t="s">
        <v>44</v>
      </c>
      <c r="B96" s="16">
        <v>41003</v>
      </c>
      <c r="C96" s="16" t="s">
        <v>165</v>
      </c>
      <c r="D96" s="15" t="s">
        <v>72</v>
      </c>
      <c r="E96" s="17">
        <f t="shared" si="4"/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5">
        <v>5032000</v>
      </c>
      <c r="S96" s="15" t="s">
        <v>73</v>
      </c>
      <c r="T96" s="15" t="s">
        <v>72</v>
      </c>
      <c r="U96" s="15" t="s">
        <v>74</v>
      </c>
      <c r="V96" s="15" t="s">
        <v>75</v>
      </c>
      <c r="W96" s="15" t="s">
        <v>76</v>
      </c>
      <c r="X96" s="19">
        <v>5032000</v>
      </c>
    </row>
    <row r="97" spans="1:24" s="15" customFormat="1">
      <c r="A97" s="15" t="s">
        <v>44</v>
      </c>
      <c r="B97" s="16">
        <v>41004</v>
      </c>
      <c r="C97" s="16" t="s">
        <v>167</v>
      </c>
      <c r="D97" s="15" t="s">
        <v>72</v>
      </c>
      <c r="E97" s="17">
        <f t="shared" si="4"/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5">
        <v>5032000</v>
      </c>
      <c r="S97" s="15" t="s">
        <v>73</v>
      </c>
      <c r="T97" s="15" t="s">
        <v>72</v>
      </c>
      <c r="U97" s="15" t="s">
        <v>74</v>
      </c>
      <c r="V97" s="15" t="s">
        <v>75</v>
      </c>
      <c r="W97" s="15" t="s">
        <v>76</v>
      </c>
      <c r="X97" s="19">
        <v>5032000</v>
      </c>
    </row>
    <row r="98" spans="1:24" s="15" customFormat="1">
      <c r="A98" s="15" t="s">
        <v>44</v>
      </c>
      <c r="B98" s="16">
        <v>41007</v>
      </c>
      <c r="C98" s="16" t="s">
        <v>169</v>
      </c>
      <c r="D98" s="15" t="s">
        <v>72</v>
      </c>
      <c r="E98" s="17">
        <f t="shared" si="4"/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5">
        <v>5032000</v>
      </c>
      <c r="S98" s="15" t="s">
        <v>73</v>
      </c>
      <c r="T98" s="15" t="s">
        <v>72</v>
      </c>
      <c r="U98" s="15" t="s">
        <v>74</v>
      </c>
      <c r="V98" s="15" t="s">
        <v>75</v>
      </c>
      <c r="W98" s="15" t="s">
        <v>76</v>
      </c>
      <c r="X98" s="19">
        <v>5032000</v>
      </c>
    </row>
    <row r="99" spans="1:24" s="15" customFormat="1">
      <c r="A99" s="15" t="s">
        <v>44</v>
      </c>
      <c r="B99" s="16">
        <v>41008</v>
      </c>
      <c r="C99" s="16" t="s">
        <v>171</v>
      </c>
      <c r="D99" s="15" t="s">
        <v>72</v>
      </c>
      <c r="E99" s="17">
        <f t="shared" si="4"/>
        <v>-52510.465988048534</v>
      </c>
      <c r="F99" s="18">
        <v>-4375.8721656707103</v>
      </c>
      <c r="G99" s="18">
        <v>-4375.8721656707103</v>
      </c>
      <c r="H99" s="18">
        <v>-4375.8721656707103</v>
      </c>
      <c r="I99" s="18">
        <v>-4375.8721656707103</v>
      </c>
      <c r="J99" s="18">
        <v>-4375.8721656707103</v>
      </c>
      <c r="K99" s="18">
        <v>-4375.8721656707103</v>
      </c>
      <c r="L99" s="18">
        <v>-4375.8721656707103</v>
      </c>
      <c r="M99" s="18">
        <v>-4375.8721656707103</v>
      </c>
      <c r="N99" s="18">
        <v>-4375.8721656707103</v>
      </c>
      <c r="O99" s="18">
        <v>-4375.8721656707103</v>
      </c>
      <c r="P99" s="18">
        <v>-4375.8721656707103</v>
      </c>
      <c r="Q99" s="18">
        <v>-4375.8721656707103</v>
      </c>
      <c r="R99" s="15">
        <v>5031000</v>
      </c>
      <c r="S99" s="15" t="s">
        <v>81</v>
      </c>
      <c r="T99" s="15" t="s">
        <v>72</v>
      </c>
      <c r="U99" s="15" t="s">
        <v>74</v>
      </c>
      <c r="V99" s="15" t="s">
        <v>75</v>
      </c>
      <c r="W99" s="15" t="s">
        <v>82</v>
      </c>
      <c r="X99" s="19">
        <v>5031000</v>
      </c>
    </row>
    <row r="100" spans="1:24" s="15" customFormat="1">
      <c r="A100" s="15" t="s">
        <v>44</v>
      </c>
      <c r="B100" s="16">
        <v>41010</v>
      </c>
      <c r="C100" s="16" t="s">
        <v>173</v>
      </c>
      <c r="D100" s="15" t="s">
        <v>72</v>
      </c>
      <c r="E100" s="17">
        <f t="shared" si="4"/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5">
        <v>5041000</v>
      </c>
      <c r="S100" s="15" t="s">
        <v>38</v>
      </c>
      <c r="T100" s="15" t="s">
        <v>72</v>
      </c>
      <c r="U100" s="15" t="s">
        <v>158</v>
      </c>
      <c r="V100" s="15" t="s">
        <v>75</v>
      </c>
      <c r="W100" s="15" t="s">
        <v>159</v>
      </c>
      <c r="X100" s="19">
        <v>5041000</v>
      </c>
    </row>
    <row r="101" spans="1:24" s="15" customFormat="1">
      <c r="A101" s="15" t="s">
        <v>44</v>
      </c>
      <c r="B101" s="16">
        <v>41090</v>
      </c>
      <c r="C101" s="16" t="s">
        <v>174</v>
      </c>
      <c r="D101" s="15" t="s">
        <v>72</v>
      </c>
      <c r="E101" s="17">
        <f t="shared" si="4"/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5">
        <v>5540000</v>
      </c>
      <c r="S101" s="15" t="s">
        <v>123</v>
      </c>
      <c r="T101" s="15" t="s">
        <v>72</v>
      </c>
      <c r="U101" s="15" t="s">
        <v>124</v>
      </c>
      <c r="V101" s="15" t="s">
        <v>137</v>
      </c>
      <c r="W101" s="15" t="s">
        <v>126</v>
      </c>
      <c r="X101" s="19">
        <v>5540000</v>
      </c>
    </row>
    <row r="102" spans="1:24" s="15" customFormat="1">
      <c r="A102" s="15" t="s">
        <v>44</v>
      </c>
      <c r="B102" s="16">
        <v>41091</v>
      </c>
      <c r="C102" s="16" t="s">
        <v>175</v>
      </c>
      <c r="D102" s="15" t="s">
        <v>72</v>
      </c>
      <c r="E102" s="17">
        <f t="shared" si="4"/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5">
        <v>5540000</v>
      </c>
      <c r="S102" s="15" t="s">
        <v>123</v>
      </c>
      <c r="T102" s="15" t="s">
        <v>72</v>
      </c>
      <c r="U102" s="15" t="s">
        <v>124</v>
      </c>
      <c r="V102" s="15" t="s">
        <v>137</v>
      </c>
      <c r="W102" s="15" t="s">
        <v>126</v>
      </c>
      <c r="X102" s="19">
        <v>5540000</v>
      </c>
    </row>
    <row r="103" spans="1:24" s="15" customFormat="1">
      <c r="A103" s="15" t="s">
        <v>44</v>
      </c>
      <c r="B103" s="16">
        <v>41099</v>
      </c>
      <c r="C103" s="16" t="s">
        <v>176</v>
      </c>
      <c r="D103" s="15" t="s">
        <v>72</v>
      </c>
      <c r="E103" s="17">
        <f t="shared" si="4"/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5">
        <v>5540000</v>
      </c>
      <c r="S103" s="15" t="s">
        <v>123</v>
      </c>
      <c r="T103" s="15" t="s">
        <v>72</v>
      </c>
      <c r="U103" s="15" t="s">
        <v>124</v>
      </c>
      <c r="V103" s="15" t="s">
        <v>75</v>
      </c>
      <c r="W103" s="15" t="s">
        <v>126</v>
      </c>
      <c r="X103" s="19">
        <v>5540000</v>
      </c>
    </row>
    <row r="104" spans="1:24" s="15" customFormat="1">
      <c r="A104" s="15" t="s">
        <v>44</v>
      </c>
      <c r="B104" s="16">
        <v>41100</v>
      </c>
      <c r="C104" s="16" t="s">
        <v>177</v>
      </c>
      <c r="D104" s="15" t="s">
        <v>72</v>
      </c>
      <c r="E104" s="17">
        <f t="shared" si="4"/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5">
        <v>5540000</v>
      </c>
      <c r="S104" s="15" t="s">
        <v>123</v>
      </c>
      <c r="T104" s="15" t="s">
        <v>72</v>
      </c>
      <c r="U104" s="15" t="s">
        <v>124</v>
      </c>
      <c r="V104" s="15" t="s">
        <v>129</v>
      </c>
      <c r="W104" s="15" t="s">
        <v>126</v>
      </c>
      <c r="X104" s="19">
        <v>5540000</v>
      </c>
    </row>
    <row r="105" spans="1:24" s="15" customFormat="1">
      <c r="A105" s="15" t="s">
        <v>44</v>
      </c>
      <c r="B105" s="16">
        <v>42100</v>
      </c>
      <c r="C105" s="16" t="s">
        <v>179</v>
      </c>
      <c r="D105" s="15" t="s">
        <v>72</v>
      </c>
      <c r="E105" s="17">
        <f t="shared" si="4"/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5">
        <v>5540000</v>
      </c>
      <c r="S105" s="15" t="s">
        <v>123</v>
      </c>
      <c r="T105" s="15" t="s">
        <v>72</v>
      </c>
      <c r="U105" s="15" t="s">
        <v>124</v>
      </c>
      <c r="V105" s="15" t="s">
        <v>129</v>
      </c>
      <c r="W105" s="15" t="s">
        <v>126</v>
      </c>
      <c r="X105" s="19">
        <v>5540000</v>
      </c>
    </row>
    <row r="106" spans="1:24" s="15" customFormat="1">
      <c r="A106" s="15" t="s">
        <v>44</v>
      </c>
      <c r="B106" s="16">
        <v>45000</v>
      </c>
      <c r="C106" s="16" t="s">
        <v>180</v>
      </c>
      <c r="D106" s="15" t="s">
        <v>72</v>
      </c>
      <c r="E106" s="17">
        <f t="shared" si="4"/>
        <v>-51985.361328168023</v>
      </c>
      <c r="F106" s="18">
        <v>-4332.1134440140031</v>
      </c>
      <c r="G106" s="18">
        <v>-4332.1134440140031</v>
      </c>
      <c r="H106" s="18">
        <v>-4332.1134440140031</v>
      </c>
      <c r="I106" s="18">
        <v>-4332.1134440140031</v>
      </c>
      <c r="J106" s="18">
        <v>-4332.1134440140031</v>
      </c>
      <c r="K106" s="18">
        <v>-4332.1134440140031</v>
      </c>
      <c r="L106" s="18">
        <v>-4332.1134440140031</v>
      </c>
      <c r="M106" s="18">
        <v>-4332.1134440140031</v>
      </c>
      <c r="N106" s="18">
        <v>-4332.1134440140031</v>
      </c>
      <c r="O106" s="18">
        <v>-4332.1134440140031</v>
      </c>
      <c r="P106" s="18">
        <v>-4332.1134440140031</v>
      </c>
      <c r="Q106" s="18">
        <v>-4332.1134440140031</v>
      </c>
      <c r="R106" s="15">
        <v>5051000</v>
      </c>
      <c r="S106" s="15" t="s">
        <v>107</v>
      </c>
      <c r="T106" s="15" t="s">
        <v>72</v>
      </c>
      <c r="U106" s="15" t="s">
        <v>108</v>
      </c>
      <c r="V106" s="15" t="s">
        <v>75</v>
      </c>
      <c r="W106" s="15" t="s">
        <v>109</v>
      </c>
      <c r="X106" s="19">
        <v>5051000</v>
      </c>
    </row>
    <row r="107" spans="1:24" s="15" customFormat="1">
      <c r="A107" s="15" t="s">
        <v>44</v>
      </c>
      <c r="B107" s="16">
        <v>64800</v>
      </c>
      <c r="C107" s="16" t="s">
        <v>181</v>
      </c>
      <c r="D107" s="15" t="s">
        <v>72</v>
      </c>
      <c r="E107" s="17">
        <f t="shared" si="4"/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5">
        <v>5540000</v>
      </c>
      <c r="S107" s="15" t="s">
        <v>123</v>
      </c>
      <c r="T107" s="15" t="s">
        <v>72</v>
      </c>
      <c r="U107" s="15" t="s">
        <v>124</v>
      </c>
      <c r="V107" s="15" t="s">
        <v>129</v>
      </c>
      <c r="W107" s="15">
        <v>0</v>
      </c>
      <c r="X107" s="19">
        <v>5540000</v>
      </c>
    </row>
    <row r="108" spans="1:24">
      <c r="A108" s="1" t="s">
        <v>11</v>
      </c>
      <c r="B108" s="10">
        <v>5000</v>
      </c>
      <c r="C108" s="20" t="s">
        <v>76</v>
      </c>
      <c r="D108" s="1" t="s">
        <v>72</v>
      </c>
      <c r="E108" s="11">
        <f t="shared" ref="E108:E113" si="5">SUM(F108:Q108)</f>
        <v>0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">
        <v>5032000</v>
      </c>
      <c r="S108" s="1" t="s">
        <v>73</v>
      </c>
      <c r="T108" s="1" t="s">
        <v>72</v>
      </c>
      <c r="U108" s="1" t="s">
        <v>74</v>
      </c>
      <c r="X108" s="14"/>
    </row>
    <row r="109" spans="1:24">
      <c r="A109" s="1" t="s">
        <v>11</v>
      </c>
      <c r="B109" s="10">
        <v>5018</v>
      </c>
      <c r="C109" s="20" t="s">
        <v>82</v>
      </c>
      <c r="D109" s="1" t="s">
        <v>72</v>
      </c>
      <c r="E109" s="11">
        <f t="shared" si="5"/>
        <v>0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">
        <v>5031000</v>
      </c>
      <c r="S109" s="1" t="s">
        <v>81</v>
      </c>
      <c r="T109" s="1" t="s">
        <v>72</v>
      </c>
      <c r="U109" s="1" t="s">
        <v>74</v>
      </c>
      <c r="X109" s="14"/>
    </row>
    <row r="110" spans="1:24">
      <c r="A110" s="1" t="s">
        <v>11</v>
      </c>
      <c r="B110" s="10">
        <v>5048</v>
      </c>
      <c r="C110" s="20" t="s">
        <v>159</v>
      </c>
      <c r="D110" s="1" t="s">
        <v>72</v>
      </c>
      <c r="E110" s="11">
        <f t="shared" si="5"/>
        <v>0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">
        <v>5041000</v>
      </c>
      <c r="S110" s="1" t="s">
        <v>38</v>
      </c>
      <c r="T110" s="1" t="s">
        <v>72</v>
      </c>
      <c r="U110" s="1" t="s">
        <v>158</v>
      </c>
      <c r="X110" s="14"/>
    </row>
    <row r="111" spans="1:24">
      <c r="A111" s="1" t="s">
        <v>11</v>
      </c>
      <c r="B111" s="10">
        <v>5812</v>
      </c>
      <c r="C111" s="20" t="s">
        <v>109</v>
      </c>
      <c r="D111" s="1" t="s">
        <v>72</v>
      </c>
      <c r="E111" s="11">
        <f t="shared" si="5"/>
        <v>0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">
        <v>5051000</v>
      </c>
      <c r="S111" s="1" t="s">
        <v>107</v>
      </c>
      <c r="T111" s="1" t="s">
        <v>72</v>
      </c>
      <c r="U111" s="1" t="s">
        <v>108</v>
      </c>
      <c r="X111" s="14"/>
    </row>
    <row r="112" spans="1:24">
      <c r="A112" s="1" t="s">
        <v>11</v>
      </c>
      <c r="B112" s="10">
        <v>5811</v>
      </c>
      <c r="C112" s="20" t="s">
        <v>120</v>
      </c>
      <c r="D112" s="1" t="s">
        <v>72</v>
      </c>
      <c r="E112" s="11">
        <f t="shared" si="5"/>
        <v>0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">
        <v>5061000</v>
      </c>
      <c r="S112" s="1" t="s">
        <v>143</v>
      </c>
      <c r="T112" s="1" t="s">
        <v>72</v>
      </c>
      <c r="U112" s="1" t="s">
        <v>144</v>
      </c>
      <c r="X112" s="14"/>
    </row>
    <row r="113" spans="1:24">
      <c r="A113" s="27"/>
      <c r="B113" s="28"/>
      <c r="C113" s="28"/>
      <c r="E113" s="11">
        <f t="shared" si="5"/>
        <v>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X113" s="14"/>
    </row>
    <row r="114" spans="1:24">
      <c r="B114" s="22"/>
      <c r="C114" s="22" t="s">
        <v>182</v>
      </c>
      <c r="D114" s="1" t="e">
        <f>VLOOKUP(B114,'[1]INC Map'!A:D,4,0)</f>
        <v>#N/A</v>
      </c>
      <c r="E114" s="23">
        <f t="shared" ref="E114:P114" si="6">SUM(E44:E107)</f>
        <v>-2251337.1405711547</v>
      </c>
      <c r="F114" s="23">
        <f t="shared" si="6"/>
        <v>-188347.77269204066</v>
      </c>
      <c r="G114" s="23">
        <f t="shared" si="6"/>
        <v>-188347.77269204066</v>
      </c>
      <c r="H114" s="23">
        <f t="shared" si="6"/>
        <v>-188347.77269204066</v>
      </c>
      <c r="I114" s="23">
        <f t="shared" si="6"/>
        <v>-188347.77269204066</v>
      </c>
      <c r="J114" s="23">
        <f t="shared" si="6"/>
        <v>-188347.77269204066</v>
      </c>
      <c r="K114" s="23">
        <f t="shared" si="6"/>
        <v>-188347.77269204066</v>
      </c>
      <c r="L114" s="23">
        <f t="shared" si="6"/>
        <v>-188347.77269204066</v>
      </c>
      <c r="M114" s="23">
        <f t="shared" si="6"/>
        <v>-189073.62602537399</v>
      </c>
      <c r="N114" s="23">
        <f t="shared" si="6"/>
        <v>-189073.62602537399</v>
      </c>
      <c r="O114" s="23">
        <f t="shared" si="6"/>
        <v>-184918.493225374</v>
      </c>
      <c r="P114" s="23">
        <f t="shared" si="6"/>
        <v>-184918.493225374</v>
      </c>
      <c r="Q114" s="29">
        <f>SUM(Q44:Q107)</f>
        <v>-184918.493225374</v>
      </c>
      <c r="R114" s="1" t="e">
        <v>#N/A</v>
      </c>
      <c r="S114" s="1" t="e">
        <v>#N/A</v>
      </c>
      <c r="T114" s="1" t="e">
        <v>#N/A</v>
      </c>
      <c r="U114" s="1" t="e">
        <v>#N/A</v>
      </c>
      <c r="V114" s="1" t="e">
        <v>#N/A</v>
      </c>
      <c r="W114" s="1" t="e">
        <v>#N/A</v>
      </c>
      <c r="X114" s="14" t="e">
        <v>#N/A</v>
      </c>
    </row>
    <row r="115" spans="1:24">
      <c r="B115" s="22"/>
      <c r="C115" s="22" t="s">
        <v>183</v>
      </c>
      <c r="D115" s="1" t="e">
        <f>VLOOKUP(B115,'[1]INC Map'!A:D,4,0)</f>
        <v>#N/A</v>
      </c>
      <c r="E115" s="23">
        <f t="shared" ref="E115:P115" si="7">E43+E114</f>
        <v>8688343.2736056205</v>
      </c>
      <c r="F115" s="23">
        <f t="shared" si="7"/>
        <v>723292.26182269072</v>
      </c>
      <c r="G115" s="23">
        <f t="shared" si="7"/>
        <v>723292.26182269072</v>
      </c>
      <c r="H115" s="23">
        <f t="shared" si="7"/>
        <v>723292.26182269072</v>
      </c>
      <c r="I115" s="23">
        <f t="shared" si="7"/>
        <v>723292.26182269072</v>
      </c>
      <c r="J115" s="23">
        <f t="shared" si="7"/>
        <v>723292.26182269072</v>
      </c>
      <c r="K115" s="23">
        <f t="shared" si="7"/>
        <v>723292.26182269072</v>
      </c>
      <c r="L115" s="23">
        <f t="shared" si="7"/>
        <v>723292.26182269072</v>
      </c>
      <c r="M115" s="23">
        <f t="shared" si="7"/>
        <v>722566.40848935745</v>
      </c>
      <c r="N115" s="23">
        <f t="shared" si="7"/>
        <v>722566.40848935745</v>
      </c>
      <c r="O115" s="23">
        <f t="shared" si="7"/>
        <v>726721.54128935735</v>
      </c>
      <c r="P115" s="23">
        <f t="shared" si="7"/>
        <v>726721.54128935735</v>
      </c>
      <c r="Q115" s="23">
        <f>Q43+Q114</f>
        <v>726721.54128935735</v>
      </c>
      <c r="R115" s="1" t="e">
        <v>#N/A</v>
      </c>
      <c r="S115" s="1" t="e">
        <v>#N/A</v>
      </c>
      <c r="T115" s="1" t="e">
        <v>#N/A</v>
      </c>
      <c r="U115" s="1" t="e">
        <v>#N/A</v>
      </c>
      <c r="V115" s="1" t="e">
        <v>#N/A</v>
      </c>
      <c r="W115" s="1" t="e">
        <v>#N/A</v>
      </c>
      <c r="X115" s="14" t="e">
        <v>#N/A</v>
      </c>
    </row>
    <row r="116" spans="1:24">
      <c r="A116" s="1" t="s">
        <v>11</v>
      </c>
      <c r="B116" s="26">
        <v>4960</v>
      </c>
      <c r="C116" s="26" t="s">
        <v>184</v>
      </c>
      <c r="D116" s="30" t="s">
        <v>186</v>
      </c>
      <c r="E116" s="11">
        <f t="shared" ref="E116:E162" si="8">SUM(F116:Q116)</f>
        <v>0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1">
        <v>6021001</v>
      </c>
      <c r="S116" s="1" t="s">
        <v>187</v>
      </c>
      <c r="T116" s="1" t="s">
        <v>188</v>
      </c>
      <c r="U116" s="1" t="s">
        <v>189</v>
      </c>
      <c r="V116" s="1" t="s">
        <v>185</v>
      </c>
      <c r="W116" s="1">
        <v>0</v>
      </c>
      <c r="X116" s="14">
        <v>6021001</v>
      </c>
    </row>
    <row r="117" spans="1:24">
      <c r="A117" s="1" t="s">
        <v>190</v>
      </c>
      <c r="B117" s="26" t="s">
        <v>191</v>
      </c>
      <c r="C117" s="26" t="s">
        <v>192</v>
      </c>
      <c r="D117" s="1" t="s">
        <v>194</v>
      </c>
      <c r="E117" s="11">
        <f t="shared" si="8"/>
        <v>0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1">
        <v>6103003</v>
      </c>
      <c r="S117" s="1" t="s">
        <v>195</v>
      </c>
      <c r="T117" s="1" t="s">
        <v>193</v>
      </c>
      <c r="U117" s="1" t="s">
        <v>196</v>
      </c>
      <c r="V117" s="1" t="s">
        <v>197</v>
      </c>
      <c r="W117" s="1">
        <v>0</v>
      </c>
      <c r="X117" s="14">
        <v>6103003</v>
      </c>
    </row>
    <row r="118" spans="1:24">
      <c r="A118" s="1" t="s">
        <v>11</v>
      </c>
      <c r="B118" s="26">
        <v>6010</v>
      </c>
      <c r="C118" s="26" t="s">
        <v>198</v>
      </c>
      <c r="D118" s="1" t="s">
        <v>194</v>
      </c>
      <c r="E118" s="11">
        <f t="shared" si="8"/>
        <v>0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1">
        <v>6051001</v>
      </c>
      <c r="S118" s="1" t="s">
        <v>201</v>
      </c>
      <c r="T118" s="1" t="s">
        <v>200</v>
      </c>
      <c r="U118" s="1" t="s">
        <v>202</v>
      </c>
      <c r="V118" s="1" t="s">
        <v>197</v>
      </c>
      <c r="W118" s="1">
        <v>0</v>
      </c>
      <c r="X118" s="14">
        <v>6051001</v>
      </c>
    </row>
    <row r="119" spans="1:24">
      <c r="A119" s="1" t="s">
        <v>11</v>
      </c>
      <c r="B119" s="26">
        <v>6011</v>
      </c>
      <c r="C119" s="26" t="s">
        <v>203</v>
      </c>
      <c r="D119" s="1" t="s">
        <v>194</v>
      </c>
      <c r="E119" s="11">
        <f t="shared" si="8"/>
        <v>0</v>
      </c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1">
        <v>6051002</v>
      </c>
      <c r="S119" s="1" t="s">
        <v>204</v>
      </c>
      <c r="T119" s="1" t="s">
        <v>200</v>
      </c>
      <c r="U119" s="1" t="s">
        <v>202</v>
      </c>
      <c r="V119" s="1" t="s">
        <v>197</v>
      </c>
      <c r="W119" s="1">
        <v>0</v>
      </c>
      <c r="X119" s="14">
        <v>6051002</v>
      </c>
    </row>
    <row r="120" spans="1:24">
      <c r="A120" s="1" t="s">
        <v>11</v>
      </c>
      <c r="B120" s="26">
        <v>6020</v>
      </c>
      <c r="C120" s="26" t="s">
        <v>205</v>
      </c>
      <c r="D120" s="1" t="s">
        <v>194</v>
      </c>
      <c r="E120" s="11">
        <f t="shared" si="8"/>
        <v>0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1">
        <v>6103003</v>
      </c>
      <c r="S120" s="1" t="s">
        <v>195</v>
      </c>
      <c r="T120" s="1" t="s">
        <v>193</v>
      </c>
      <c r="U120" s="1" t="s">
        <v>196</v>
      </c>
      <c r="V120" s="1" t="s">
        <v>206</v>
      </c>
      <c r="W120" s="1">
        <v>0</v>
      </c>
      <c r="X120" s="14">
        <v>6103003</v>
      </c>
    </row>
    <row r="121" spans="1:24">
      <c r="A121" s="1" t="s">
        <v>11</v>
      </c>
      <c r="B121" s="26">
        <v>6150</v>
      </c>
      <c r="C121" s="26" t="s">
        <v>207</v>
      </c>
      <c r="D121" s="1" t="s">
        <v>194</v>
      </c>
      <c r="E121" s="11">
        <f t="shared" si="8"/>
        <v>-115482.74489964548</v>
      </c>
      <c r="F121" s="31">
        <v>-85268</v>
      </c>
      <c r="G121" s="31">
        <v>-268</v>
      </c>
      <c r="H121" s="31">
        <v>-268</v>
      </c>
      <c r="I121" s="31">
        <v>-19693</v>
      </c>
      <c r="J121" s="31">
        <v>-268</v>
      </c>
      <c r="K121" s="31">
        <v>-934.66666666666663</v>
      </c>
      <c r="L121" s="31">
        <v>-268</v>
      </c>
      <c r="M121" s="31">
        <v>-5443.0782329788071</v>
      </c>
      <c r="N121" s="31">
        <v>-268</v>
      </c>
      <c r="O121" s="31">
        <v>-268</v>
      </c>
      <c r="P121" s="31">
        <v>-268</v>
      </c>
      <c r="Q121" s="31">
        <v>-2268</v>
      </c>
      <c r="R121" s="1">
        <v>6054003</v>
      </c>
      <c r="S121" s="1" t="s">
        <v>208</v>
      </c>
      <c r="T121" s="1" t="s">
        <v>200</v>
      </c>
      <c r="U121" s="1" t="s">
        <v>209</v>
      </c>
      <c r="V121" s="1" t="s">
        <v>210</v>
      </c>
      <c r="W121" s="1">
        <v>0</v>
      </c>
      <c r="X121" s="14">
        <v>6054003</v>
      </c>
    </row>
    <row r="122" spans="1:24">
      <c r="A122" s="1" t="s">
        <v>11</v>
      </c>
      <c r="B122" s="26">
        <v>6381</v>
      </c>
      <c r="C122" s="26" t="s">
        <v>211</v>
      </c>
      <c r="D122" s="1" t="s">
        <v>194</v>
      </c>
      <c r="E122" s="11">
        <f t="shared" si="8"/>
        <v>0</v>
      </c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1">
        <v>6105003</v>
      </c>
      <c r="S122" s="1" t="s">
        <v>212</v>
      </c>
      <c r="T122" s="1" t="s">
        <v>193</v>
      </c>
      <c r="U122" s="1" t="s">
        <v>213</v>
      </c>
      <c r="V122" s="1" t="s">
        <v>214</v>
      </c>
      <c r="W122" s="1">
        <v>0</v>
      </c>
      <c r="X122" s="14">
        <v>6105003</v>
      </c>
    </row>
    <row r="123" spans="1:24">
      <c r="A123" s="1" t="s">
        <v>11</v>
      </c>
      <c r="B123" s="26">
        <v>6382</v>
      </c>
      <c r="C123" s="26" t="s">
        <v>215</v>
      </c>
      <c r="D123" s="1" t="s">
        <v>194</v>
      </c>
      <c r="E123" s="11">
        <f t="shared" si="8"/>
        <v>-14500</v>
      </c>
      <c r="F123" s="31">
        <v>-375</v>
      </c>
      <c r="G123" s="31">
        <v>-375</v>
      </c>
      <c r="H123" s="31">
        <v>-5375</v>
      </c>
      <c r="I123" s="31">
        <v>-375</v>
      </c>
      <c r="J123" s="31">
        <v>-375</v>
      </c>
      <c r="K123" s="31">
        <v>-375</v>
      </c>
      <c r="L123" s="31">
        <v>-375</v>
      </c>
      <c r="M123" s="31">
        <v>-375</v>
      </c>
      <c r="N123" s="31">
        <v>-375</v>
      </c>
      <c r="O123" s="31">
        <v>-5375</v>
      </c>
      <c r="P123" s="31">
        <v>-375</v>
      </c>
      <c r="Q123" s="31">
        <v>-375</v>
      </c>
      <c r="R123" s="1">
        <v>6052000</v>
      </c>
      <c r="S123" s="1" t="s">
        <v>216</v>
      </c>
      <c r="T123" s="1" t="s">
        <v>200</v>
      </c>
      <c r="U123" s="1" t="s">
        <v>216</v>
      </c>
      <c r="V123" s="1" t="s">
        <v>217</v>
      </c>
      <c r="W123" s="1">
        <v>0</v>
      </c>
      <c r="X123" s="14">
        <v>6052000</v>
      </c>
    </row>
    <row r="124" spans="1:24">
      <c r="A124" s="1" t="s">
        <v>11</v>
      </c>
      <c r="B124" s="26">
        <v>6031</v>
      </c>
      <c r="C124" s="26" t="s">
        <v>218</v>
      </c>
      <c r="D124" s="1" t="s">
        <v>194</v>
      </c>
      <c r="E124" s="11">
        <f t="shared" si="8"/>
        <v>-3000</v>
      </c>
      <c r="F124" s="31">
        <v>-250</v>
      </c>
      <c r="G124" s="31">
        <v>-250</v>
      </c>
      <c r="H124" s="31">
        <v>-250</v>
      </c>
      <c r="I124" s="31">
        <v>-250</v>
      </c>
      <c r="J124" s="31">
        <v>-250</v>
      </c>
      <c r="K124" s="31">
        <v>-250</v>
      </c>
      <c r="L124" s="31">
        <v>-250</v>
      </c>
      <c r="M124" s="31">
        <v>-250</v>
      </c>
      <c r="N124" s="31">
        <v>-250</v>
      </c>
      <c r="O124" s="31">
        <v>-250</v>
      </c>
      <c r="P124" s="31">
        <v>-250</v>
      </c>
      <c r="Q124" s="31">
        <v>-250</v>
      </c>
      <c r="R124" s="1">
        <v>6107001</v>
      </c>
      <c r="S124" s="1" t="s">
        <v>219</v>
      </c>
      <c r="T124" s="1" t="s">
        <v>193</v>
      </c>
      <c r="U124" s="1" t="s">
        <v>220</v>
      </c>
      <c r="V124" s="1" t="s">
        <v>214</v>
      </c>
      <c r="W124" s="1">
        <v>0</v>
      </c>
      <c r="X124" s="14">
        <v>6107001</v>
      </c>
    </row>
    <row r="125" spans="1:24">
      <c r="A125" s="1" t="s">
        <v>11</v>
      </c>
      <c r="B125" s="26">
        <v>6032</v>
      </c>
      <c r="C125" s="26" t="s">
        <v>221</v>
      </c>
      <c r="D125" s="1" t="s">
        <v>194</v>
      </c>
      <c r="E125" s="11">
        <f t="shared" si="8"/>
        <v>0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1">
        <v>6107003</v>
      </c>
      <c r="S125" s="1" t="s">
        <v>222</v>
      </c>
      <c r="T125" s="1" t="s">
        <v>193</v>
      </c>
      <c r="U125" s="1" t="s">
        <v>220</v>
      </c>
      <c r="V125" s="1" t="s">
        <v>214</v>
      </c>
      <c r="W125" s="1">
        <v>0</v>
      </c>
      <c r="X125" s="14">
        <v>6107003</v>
      </c>
    </row>
    <row r="126" spans="1:24">
      <c r="A126" s="1" t="s">
        <v>11</v>
      </c>
      <c r="B126" s="26">
        <v>6047</v>
      </c>
      <c r="C126" s="26" t="s">
        <v>223</v>
      </c>
      <c r="D126" s="1" t="s">
        <v>194</v>
      </c>
      <c r="E126" s="11">
        <f t="shared" si="8"/>
        <v>-6000</v>
      </c>
      <c r="F126" s="31">
        <v>-500</v>
      </c>
      <c r="G126" s="31">
        <v>-500</v>
      </c>
      <c r="H126" s="31">
        <v>-500</v>
      </c>
      <c r="I126" s="31">
        <v>-500</v>
      </c>
      <c r="J126" s="31">
        <v>-500</v>
      </c>
      <c r="K126" s="31">
        <v>-500</v>
      </c>
      <c r="L126" s="31">
        <v>-500</v>
      </c>
      <c r="M126" s="31">
        <v>-500</v>
      </c>
      <c r="N126" s="31">
        <v>-500</v>
      </c>
      <c r="O126" s="31">
        <v>-500</v>
      </c>
      <c r="P126" s="31">
        <v>-500</v>
      </c>
      <c r="Q126" s="31">
        <v>-500</v>
      </c>
      <c r="R126" s="1">
        <v>6092003</v>
      </c>
      <c r="S126" s="1" t="s">
        <v>225</v>
      </c>
      <c r="T126" s="1" t="s">
        <v>224</v>
      </c>
      <c r="U126" s="1" t="s">
        <v>226</v>
      </c>
      <c r="V126" s="1" t="s">
        <v>226</v>
      </c>
      <c r="W126" s="1" t="s">
        <v>227</v>
      </c>
      <c r="X126" s="14">
        <v>6092003</v>
      </c>
    </row>
    <row r="127" spans="1:24">
      <c r="A127" s="1" t="s">
        <v>11</v>
      </c>
      <c r="B127" s="26">
        <v>6048</v>
      </c>
      <c r="C127" s="26" t="s">
        <v>228</v>
      </c>
      <c r="D127" s="1" t="s">
        <v>194</v>
      </c>
      <c r="E127" s="11">
        <f t="shared" si="8"/>
        <v>-12000</v>
      </c>
      <c r="F127" s="31">
        <v>-1000</v>
      </c>
      <c r="G127" s="31">
        <v>-1000</v>
      </c>
      <c r="H127" s="31">
        <v>-1000</v>
      </c>
      <c r="I127" s="31">
        <v>-1000</v>
      </c>
      <c r="J127" s="31">
        <v>-1000</v>
      </c>
      <c r="K127" s="31">
        <v>-1000</v>
      </c>
      <c r="L127" s="31">
        <v>-1000</v>
      </c>
      <c r="M127" s="31">
        <v>-1000</v>
      </c>
      <c r="N127" s="31">
        <v>-1000</v>
      </c>
      <c r="O127" s="31">
        <v>-1000</v>
      </c>
      <c r="P127" s="31">
        <v>-1000</v>
      </c>
      <c r="Q127" s="31">
        <v>-1000</v>
      </c>
      <c r="R127" s="1">
        <v>6092004</v>
      </c>
      <c r="S127" s="1" t="s">
        <v>229</v>
      </c>
      <c r="T127" s="1" t="s">
        <v>224</v>
      </c>
      <c r="U127" s="1" t="s">
        <v>226</v>
      </c>
      <c r="V127" s="1" t="s">
        <v>226</v>
      </c>
      <c r="W127" s="1">
        <v>0</v>
      </c>
      <c r="X127" s="14">
        <v>6092004</v>
      </c>
    </row>
    <row r="128" spans="1:24">
      <c r="A128" s="1" t="s">
        <v>11</v>
      </c>
      <c r="B128" s="26">
        <v>6042</v>
      </c>
      <c r="C128" s="26" t="s">
        <v>230</v>
      </c>
      <c r="D128" s="1" t="s">
        <v>194</v>
      </c>
      <c r="E128" s="11">
        <f t="shared" si="8"/>
        <v>-1200</v>
      </c>
      <c r="F128" s="31">
        <v>-100</v>
      </c>
      <c r="G128" s="31">
        <v>-100</v>
      </c>
      <c r="H128" s="31">
        <v>-100</v>
      </c>
      <c r="I128" s="31">
        <v>-100</v>
      </c>
      <c r="J128" s="31">
        <v>-100</v>
      </c>
      <c r="K128" s="31">
        <v>-100</v>
      </c>
      <c r="L128" s="31">
        <v>-100</v>
      </c>
      <c r="M128" s="31">
        <v>-100</v>
      </c>
      <c r="N128" s="31">
        <v>-100</v>
      </c>
      <c r="O128" s="31">
        <v>-100</v>
      </c>
      <c r="P128" s="31">
        <v>-100</v>
      </c>
      <c r="Q128" s="31">
        <v>-100</v>
      </c>
      <c r="R128" s="1">
        <v>6092005</v>
      </c>
      <c r="S128" s="1" t="s">
        <v>231</v>
      </c>
      <c r="T128" s="1" t="s">
        <v>224</v>
      </c>
      <c r="U128" s="1" t="s">
        <v>226</v>
      </c>
      <c r="V128" s="1" t="s">
        <v>232</v>
      </c>
      <c r="W128" s="1">
        <v>0</v>
      </c>
      <c r="X128" s="14">
        <v>6092005</v>
      </c>
    </row>
    <row r="129" spans="1:24">
      <c r="A129" s="1" t="s">
        <v>11</v>
      </c>
      <c r="B129" s="26">
        <v>6043</v>
      </c>
      <c r="C129" s="26" t="s">
        <v>233</v>
      </c>
      <c r="D129" s="1" t="s">
        <v>235</v>
      </c>
      <c r="E129" s="11">
        <f t="shared" si="8"/>
        <v>0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1">
        <v>6011004</v>
      </c>
      <c r="S129" s="1" t="s">
        <v>236</v>
      </c>
      <c r="T129" s="1" t="s">
        <v>234</v>
      </c>
      <c r="U129" s="1" t="s">
        <v>237</v>
      </c>
      <c r="V129" s="1" t="s">
        <v>232</v>
      </c>
      <c r="W129" s="1">
        <v>0</v>
      </c>
      <c r="X129" s="14">
        <v>6011004</v>
      </c>
    </row>
    <row r="130" spans="1:24">
      <c r="A130" s="1" t="s">
        <v>11</v>
      </c>
      <c r="B130" s="26">
        <v>6044</v>
      </c>
      <c r="C130" s="26" t="s">
        <v>238</v>
      </c>
      <c r="D130" s="1" t="s">
        <v>194</v>
      </c>
      <c r="E130" s="11">
        <f t="shared" si="8"/>
        <v>-6000</v>
      </c>
      <c r="F130" s="31"/>
      <c r="G130" s="31"/>
      <c r="H130" s="31">
        <v>-1500</v>
      </c>
      <c r="I130" s="31"/>
      <c r="J130" s="31"/>
      <c r="K130" s="31">
        <v>-1500</v>
      </c>
      <c r="L130" s="31"/>
      <c r="M130" s="31"/>
      <c r="N130" s="31">
        <v>-1500</v>
      </c>
      <c r="O130" s="31"/>
      <c r="P130" s="31"/>
      <c r="Q130" s="31">
        <v>-1500</v>
      </c>
      <c r="R130" s="1">
        <v>6108000</v>
      </c>
      <c r="S130" s="1" t="s">
        <v>239</v>
      </c>
      <c r="T130" s="1" t="s">
        <v>193</v>
      </c>
      <c r="U130" s="1" t="s">
        <v>239</v>
      </c>
      <c r="V130" s="1" t="s">
        <v>214</v>
      </c>
      <c r="W130" s="1">
        <v>0</v>
      </c>
      <c r="X130" s="14">
        <v>6108000</v>
      </c>
    </row>
    <row r="131" spans="1:24">
      <c r="A131" s="1" t="s">
        <v>11</v>
      </c>
      <c r="B131" s="26">
        <v>6315</v>
      </c>
      <c r="C131" s="26" t="s">
        <v>240</v>
      </c>
      <c r="D131" s="1" t="s">
        <v>194</v>
      </c>
      <c r="E131" s="11">
        <f t="shared" si="8"/>
        <v>-1680</v>
      </c>
      <c r="F131" s="31">
        <v>-140</v>
      </c>
      <c r="G131" s="31">
        <v>-140</v>
      </c>
      <c r="H131" s="31">
        <v>-140</v>
      </c>
      <c r="I131" s="31">
        <v>-140</v>
      </c>
      <c r="J131" s="31">
        <v>-140</v>
      </c>
      <c r="K131" s="31">
        <v>-140</v>
      </c>
      <c r="L131" s="31">
        <v>-140</v>
      </c>
      <c r="M131" s="31">
        <v>-140</v>
      </c>
      <c r="N131" s="31">
        <v>-140</v>
      </c>
      <c r="O131" s="31">
        <v>-140</v>
      </c>
      <c r="P131" s="31">
        <v>-140</v>
      </c>
      <c r="Q131" s="31">
        <v>-140</v>
      </c>
      <c r="R131" s="1">
        <v>6030005</v>
      </c>
      <c r="S131" s="1" t="s">
        <v>242</v>
      </c>
      <c r="T131" s="1" t="s">
        <v>241</v>
      </c>
      <c r="U131" s="1" t="s">
        <v>241</v>
      </c>
      <c r="V131" s="1" t="s">
        <v>241</v>
      </c>
      <c r="W131" s="1">
        <v>0</v>
      </c>
      <c r="X131" s="14">
        <v>6030005</v>
      </c>
    </row>
    <row r="132" spans="1:24">
      <c r="A132" s="1" t="s">
        <v>11</v>
      </c>
      <c r="B132" s="26">
        <v>6325</v>
      </c>
      <c r="C132" s="26" t="s">
        <v>243</v>
      </c>
      <c r="D132" s="1" t="s">
        <v>194</v>
      </c>
      <c r="E132" s="11">
        <f t="shared" si="8"/>
        <v>-67577.777777777781</v>
      </c>
      <c r="F132" s="31">
        <v>-5400</v>
      </c>
      <c r="G132" s="31">
        <v>-5400</v>
      </c>
      <c r="H132" s="31">
        <v>-5400</v>
      </c>
      <c r="I132" s="31">
        <v>-5400</v>
      </c>
      <c r="J132" s="31">
        <v>-5400</v>
      </c>
      <c r="K132" s="31">
        <v>-5400</v>
      </c>
      <c r="L132" s="31">
        <v>-5400</v>
      </c>
      <c r="M132" s="31">
        <v>-5400</v>
      </c>
      <c r="N132" s="31">
        <v>-5400</v>
      </c>
      <c r="O132" s="31">
        <v>-5400</v>
      </c>
      <c r="P132" s="31">
        <v>-8177.7777777777774</v>
      </c>
      <c r="Q132" s="31">
        <v>-5400</v>
      </c>
      <c r="R132" s="1">
        <v>6030002</v>
      </c>
      <c r="S132" s="1" t="s">
        <v>244</v>
      </c>
      <c r="T132" s="1" t="s">
        <v>241</v>
      </c>
      <c r="U132" s="1" t="s">
        <v>241</v>
      </c>
      <c r="V132" s="1" t="s">
        <v>241</v>
      </c>
      <c r="W132" s="1">
        <v>0</v>
      </c>
      <c r="X132" s="14">
        <v>6030002</v>
      </c>
    </row>
    <row r="133" spans="1:24">
      <c r="A133" s="1" t="s">
        <v>11</v>
      </c>
      <c r="B133" s="26">
        <v>6326</v>
      </c>
      <c r="C133" s="26" t="s">
        <v>245</v>
      </c>
      <c r="D133" s="1" t="s">
        <v>194</v>
      </c>
      <c r="E133" s="11">
        <f t="shared" si="8"/>
        <v>0</v>
      </c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1">
        <v>6030010</v>
      </c>
      <c r="S133" s="1" t="s">
        <v>246</v>
      </c>
      <c r="T133" s="1" t="s">
        <v>241</v>
      </c>
      <c r="U133" s="1" t="s">
        <v>241</v>
      </c>
      <c r="V133" s="1" t="s">
        <v>241</v>
      </c>
      <c r="W133" s="1">
        <v>0</v>
      </c>
      <c r="X133" s="14">
        <v>6030010</v>
      </c>
    </row>
    <row r="134" spans="1:24">
      <c r="A134" s="1" t="s">
        <v>11</v>
      </c>
      <c r="B134" s="26">
        <v>6230</v>
      </c>
      <c r="C134" s="26" t="s">
        <v>247</v>
      </c>
      <c r="D134" s="1" t="s">
        <v>194</v>
      </c>
      <c r="E134" s="11">
        <f t="shared" si="8"/>
        <v>-3000</v>
      </c>
      <c r="F134" s="31"/>
      <c r="G134" s="31"/>
      <c r="H134" s="31">
        <v>-1000</v>
      </c>
      <c r="I134" s="31"/>
      <c r="J134" s="31"/>
      <c r="K134" s="31">
        <v>-1000</v>
      </c>
      <c r="L134" s="31"/>
      <c r="M134" s="31"/>
      <c r="N134" s="31">
        <v>-1000</v>
      </c>
      <c r="O134" s="31"/>
      <c r="P134" s="31"/>
      <c r="Q134" s="31"/>
      <c r="R134" s="1">
        <v>6106002</v>
      </c>
      <c r="S134" s="1" t="s">
        <v>247</v>
      </c>
      <c r="T134" s="1" t="s">
        <v>193</v>
      </c>
      <c r="U134" s="1" t="s">
        <v>248</v>
      </c>
      <c r="V134" s="1" t="s">
        <v>214</v>
      </c>
      <c r="W134" s="1">
        <v>0</v>
      </c>
      <c r="X134" s="14">
        <v>6106002</v>
      </c>
    </row>
    <row r="135" spans="1:24">
      <c r="A135" s="1" t="s">
        <v>11</v>
      </c>
      <c r="B135" s="26">
        <v>6330</v>
      </c>
      <c r="C135" s="26" t="s">
        <v>249</v>
      </c>
      <c r="D135" s="1" t="s">
        <v>194</v>
      </c>
      <c r="E135" s="11">
        <f t="shared" si="8"/>
        <v>-5753.2799999999988</v>
      </c>
      <c r="F135" s="31">
        <v>-479.44</v>
      </c>
      <c r="G135" s="31">
        <v>-479.44</v>
      </c>
      <c r="H135" s="31">
        <v>-479.44</v>
      </c>
      <c r="I135" s="31">
        <v>-479.44</v>
      </c>
      <c r="J135" s="31">
        <v>-479.44</v>
      </c>
      <c r="K135" s="31">
        <v>-479.44</v>
      </c>
      <c r="L135" s="31">
        <v>-479.44</v>
      </c>
      <c r="M135" s="31">
        <v>-479.44</v>
      </c>
      <c r="N135" s="31">
        <v>-479.44</v>
      </c>
      <c r="O135" s="31">
        <v>-479.44</v>
      </c>
      <c r="P135" s="31">
        <v>-479.44</v>
      </c>
      <c r="Q135" s="31">
        <v>-479.44</v>
      </c>
      <c r="R135" s="1">
        <v>6030010</v>
      </c>
      <c r="S135" s="1" t="s">
        <v>246</v>
      </c>
      <c r="T135" s="1" t="s">
        <v>241</v>
      </c>
      <c r="U135" s="1" t="s">
        <v>241</v>
      </c>
      <c r="V135" s="1" t="s">
        <v>241</v>
      </c>
      <c r="W135" s="1">
        <v>0</v>
      </c>
      <c r="X135" s="14">
        <v>6030010</v>
      </c>
    </row>
    <row r="136" spans="1:24">
      <c r="A136" s="1" t="s">
        <v>11</v>
      </c>
      <c r="B136" s="26">
        <v>6341</v>
      </c>
      <c r="C136" s="26" t="s">
        <v>250</v>
      </c>
      <c r="D136" s="1" t="s">
        <v>186</v>
      </c>
      <c r="E136" s="11">
        <f t="shared" si="8"/>
        <v>-48627.839999999989</v>
      </c>
      <c r="F136" s="31">
        <v>-4052.3199999999993</v>
      </c>
      <c r="G136" s="31">
        <v>-4052.3199999999993</v>
      </c>
      <c r="H136" s="31">
        <v>-4052.3199999999993</v>
      </c>
      <c r="I136" s="31">
        <v>-4052.3199999999993</v>
      </c>
      <c r="J136" s="31">
        <v>-4052.3199999999993</v>
      </c>
      <c r="K136" s="31">
        <v>-4052.3199999999993</v>
      </c>
      <c r="L136" s="31">
        <v>-4052.3199999999993</v>
      </c>
      <c r="M136" s="31">
        <v>-4052.3199999999993</v>
      </c>
      <c r="N136" s="31">
        <v>-4052.3199999999993</v>
      </c>
      <c r="O136" s="31">
        <v>-4052.3199999999993</v>
      </c>
      <c r="P136" s="31">
        <v>-4052.3199999999993</v>
      </c>
      <c r="Q136" s="31">
        <v>-4052.3199999999993</v>
      </c>
      <c r="R136" s="1">
        <v>6026008</v>
      </c>
      <c r="S136" s="1" t="s">
        <v>251</v>
      </c>
      <c r="T136" s="1" t="s">
        <v>188</v>
      </c>
      <c r="U136" s="1" t="s">
        <v>252</v>
      </c>
      <c r="V136" s="1" t="s">
        <v>253</v>
      </c>
      <c r="W136" s="1">
        <v>0</v>
      </c>
      <c r="X136" s="14">
        <v>6026008</v>
      </c>
    </row>
    <row r="137" spans="1:24">
      <c r="A137" s="1" t="s">
        <v>11</v>
      </c>
      <c r="B137" s="26">
        <v>6342</v>
      </c>
      <c r="C137" s="26" t="s">
        <v>254</v>
      </c>
      <c r="D137" s="1" t="s">
        <v>186</v>
      </c>
      <c r="E137" s="11">
        <f t="shared" si="8"/>
        <v>-1175.3399999999997</v>
      </c>
      <c r="F137" s="31">
        <v>-97.944999999999993</v>
      </c>
      <c r="G137" s="31">
        <v>-97.944999999999993</v>
      </c>
      <c r="H137" s="31">
        <v>-97.944999999999993</v>
      </c>
      <c r="I137" s="31">
        <v>-97.944999999999993</v>
      </c>
      <c r="J137" s="31">
        <v>-97.944999999999993</v>
      </c>
      <c r="K137" s="31">
        <v>-97.944999999999993</v>
      </c>
      <c r="L137" s="31">
        <v>-97.944999999999993</v>
      </c>
      <c r="M137" s="31">
        <v>-97.944999999999993</v>
      </c>
      <c r="N137" s="31">
        <v>-97.944999999999993</v>
      </c>
      <c r="O137" s="31">
        <v>-97.944999999999993</v>
      </c>
      <c r="P137" s="31">
        <v>-97.944999999999993</v>
      </c>
      <c r="Q137" s="31">
        <v>-97.944999999999993</v>
      </c>
      <c r="R137" s="1">
        <v>6026004</v>
      </c>
      <c r="S137" s="1" t="s">
        <v>255</v>
      </c>
      <c r="T137" s="1" t="s">
        <v>188</v>
      </c>
      <c r="U137" s="1" t="s">
        <v>252</v>
      </c>
      <c r="V137" s="1" t="s">
        <v>253</v>
      </c>
      <c r="W137" s="1">
        <v>0</v>
      </c>
      <c r="X137" s="14">
        <v>6026004</v>
      </c>
    </row>
    <row r="138" spans="1:24">
      <c r="A138" s="1" t="s">
        <v>11</v>
      </c>
      <c r="B138" s="26">
        <v>6351</v>
      </c>
      <c r="C138" s="26" t="s">
        <v>256</v>
      </c>
      <c r="D138" s="1" t="s">
        <v>194</v>
      </c>
      <c r="E138" s="11">
        <f t="shared" si="8"/>
        <v>-5753.2799999999988</v>
      </c>
      <c r="F138" s="31">
        <v>-479.44</v>
      </c>
      <c r="G138" s="31">
        <v>-479.44</v>
      </c>
      <c r="H138" s="31">
        <v>-479.44</v>
      </c>
      <c r="I138" s="31">
        <v>-479.44</v>
      </c>
      <c r="J138" s="31">
        <v>-479.44</v>
      </c>
      <c r="K138" s="31">
        <v>-479.44</v>
      </c>
      <c r="L138" s="31">
        <v>-479.44</v>
      </c>
      <c r="M138" s="31">
        <v>-479.44</v>
      </c>
      <c r="N138" s="31">
        <v>-479.44</v>
      </c>
      <c r="O138" s="31">
        <v>-479.44</v>
      </c>
      <c r="P138" s="31">
        <v>-479.44</v>
      </c>
      <c r="Q138" s="31">
        <v>-479.44</v>
      </c>
      <c r="R138" s="1">
        <v>6030010</v>
      </c>
      <c r="S138" s="1" t="s">
        <v>246</v>
      </c>
      <c r="T138" s="1" t="s">
        <v>241</v>
      </c>
      <c r="U138" s="1" t="s">
        <v>241</v>
      </c>
      <c r="V138" s="1" t="s">
        <v>241</v>
      </c>
      <c r="W138" s="1">
        <v>0</v>
      </c>
      <c r="X138" s="14">
        <v>6030010</v>
      </c>
    </row>
    <row r="139" spans="1:24">
      <c r="A139" s="1" t="s">
        <v>11</v>
      </c>
      <c r="B139" s="26">
        <v>6360</v>
      </c>
      <c r="C139" s="26" t="s">
        <v>257</v>
      </c>
      <c r="D139" s="1" t="s">
        <v>194</v>
      </c>
      <c r="E139" s="11">
        <f t="shared" si="8"/>
        <v>-5849.800000000002</v>
      </c>
      <c r="F139" s="31">
        <v>-487.48333333333341</v>
      </c>
      <c r="G139" s="31">
        <v>-487.48333333333341</v>
      </c>
      <c r="H139" s="31">
        <v>-487.48333333333341</v>
      </c>
      <c r="I139" s="31">
        <v>-487.48333333333341</v>
      </c>
      <c r="J139" s="31">
        <v>-487.48333333333341</v>
      </c>
      <c r="K139" s="31">
        <v>-487.48333333333341</v>
      </c>
      <c r="L139" s="31">
        <v>-487.48333333333341</v>
      </c>
      <c r="M139" s="31">
        <v>-487.48333333333341</v>
      </c>
      <c r="N139" s="31">
        <v>-487.48333333333341</v>
      </c>
      <c r="O139" s="31">
        <v>-487.48333333333341</v>
      </c>
      <c r="P139" s="31">
        <v>-487.48333333333341</v>
      </c>
      <c r="Q139" s="31">
        <v>-487.48333333333341</v>
      </c>
      <c r="R139" s="1">
        <v>6030009</v>
      </c>
      <c r="S139" s="1" t="s">
        <v>258</v>
      </c>
      <c r="T139" s="1" t="s">
        <v>241</v>
      </c>
      <c r="U139" s="1" t="s">
        <v>241</v>
      </c>
      <c r="V139" s="1" t="s">
        <v>241</v>
      </c>
      <c r="W139" s="1">
        <v>0</v>
      </c>
      <c r="X139" s="14">
        <v>6030009</v>
      </c>
    </row>
    <row r="140" spans="1:24">
      <c r="A140" s="1" t="s">
        <v>11</v>
      </c>
      <c r="B140" s="26">
        <v>6310</v>
      </c>
      <c r="C140" s="26" t="s">
        <v>259</v>
      </c>
      <c r="D140" s="1" t="s">
        <v>194</v>
      </c>
      <c r="E140" s="11">
        <f t="shared" si="8"/>
        <v>-45922.999999999993</v>
      </c>
      <c r="F140" s="31">
        <v>-3826.9166666666665</v>
      </c>
      <c r="G140" s="31">
        <v>-3826.9166666666665</v>
      </c>
      <c r="H140" s="31">
        <v>-3826.9166666666665</v>
      </c>
      <c r="I140" s="31">
        <v>-3826.9166666666665</v>
      </c>
      <c r="J140" s="31">
        <v>-3826.9166666666665</v>
      </c>
      <c r="K140" s="31">
        <v>-3826.9166666666665</v>
      </c>
      <c r="L140" s="31">
        <v>-3826.9166666666665</v>
      </c>
      <c r="M140" s="31">
        <v>-3826.9166666666665</v>
      </c>
      <c r="N140" s="31">
        <v>-3826.9166666666665</v>
      </c>
      <c r="O140" s="31">
        <v>-3826.9166666666665</v>
      </c>
      <c r="P140" s="31">
        <v>-3826.9166666666665</v>
      </c>
      <c r="Q140" s="31">
        <v>-3826.9166666666665</v>
      </c>
      <c r="R140" s="1">
        <v>6084000</v>
      </c>
      <c r="S140" s="1" t="s">
        <v>261</v>
      </c>
      <c r="T140" s="1" t="s">
        <v>260</v>
      </c>
      <c r="U140" s="1" t="s">
        <v>262</v>
      </c>
      <c r="V140" s="1" t="s">
        <v>263</v>
      </c>
      <c r="W140" s="1">
        <v>0</v>
      </c>
      <c r="X140" s="14">
        <v>6084000</v>
      </c>
    </row>
    <row r="141" spans="1:24">
      <c r="A141" s="1" t="s">
        <v>11</v>
      </c>
      <c r="B141" s="26">
        <v>6311</v>
      </c>
      <c r="C141" s="26" t="s">
        <v>264</v>
      </c>
      <c r="D141" s="1" t="s">
        <v>194</v>
      </c>
      <c r="E141" s="11">
        <f t="shared" si="8"/>
        <v>-41689.80000000001</v>
      </c>
      <c r="F141" s="31">
        <v>-3474.15</v>
      </c>
      <c r="G141" s="31">
        <v>-3474.15</v>
      </c>
      <c r="H141" s="31">
        <v>-3474.15</v>
      </c>
      <c r="I141" s="31">
        <v>-3474.15</v>
      </c>
      <c r="J141" s="31">
        <v>-3474.15</v>
      </c>
      <c r="K141" s="31">
        <v>-3474.15</v>
      </c>
      <c r="L141" s="31">
        <v>-3474.15</v>
      </c>
      <c r="M141" s="31">
        <v>-3474.15</v>
      </c>
      <c r="N141" s="31">
        <v>-3474.15</v>
      </c>
      <c r="O141" s="31">
        <v>-3474.15</v>
      </c>
      <c r="P141" s="31">
        <v>-3474.15</v>
      </c>
      <c r="Q141" s="31">
        <v>-3474.15</v>
      </c>
      <c r="R141" s="1">
        <v>6084000</v>
      </c>
      <c r="S141" s="1" t="s">
        <v>261</v>
      </c>
      <c r="T141" s="1" t="s">
        <v>260</v>
      </c>
      <c r="U141" s="1" t="s">
        <v>262</v>
      </c>
      <c r="V141" s="1" t="s">
        <v>263</v>
      </c>
      <c r="W141" s="1">
        <v>0</v>
      </c>
      <c r="X141" s="14">
        <v>6084000</v>
      </c>
    </row>
    <row r="142" spans="1:24">
      <c r="A142" s="1" t="s">
        <v>11</v>
      </c>
      <c r="B142" s="10">
        <v>6320</v>
      </c>
      <c r="C142" s="10" t="s">
        <v>265</v>
      </c>
      <c r="D142" s="1" t="s">
        <v>194</v>
      </c>
      <c r="E142" s="11">
        <f t="shared" si="8"/>
        <v>-12000</v>
      </c>
      <c r="F142" s="31">
        <v>-1000</v>
      </c>
      <c r="G142" s="31">
        <v>-1000</v>
      </c>
      <c r="H142" s="31">
        <v>-1000</v>
      </c>
      <c r="I142" s="31">
        <v>-1000</v>
      </c>
      <c r="J142" s="31">
        <v>-1000</v>
      </c>
      <c r="K142" s="31">
        <v>-1000</v>
      </c>
      <c r="L142" s="31">
        <v>-1000</v>
      </c>
      <c r="M142" s="31">
        <v>-1000</v>
      </c>
      <c r="N142" s="31">
        <v>-1000</v>
      </c>
      <c r="O142" s="31">
        <v>-1000</v>
      </c>
      <c r="P142" s="31">
        <v>-1000</v>
      </c>
      <c r="Q142" s="31">
        <v>-1000</v>
      </c>
      <c r="R142" s="1">
        <v>6083003</v>
      </c>
      <c r="S142" s="1" t="s">
        <v>266</v>
      </c>
      <c r="T142" s="1" t="s">
        <v>260</v>
      </c>
      <c r="U142" s="1" t="s">
        <v>262</v>
      </c>
      <c r="V142" s="1" t="s">
        <v>263</v>
      </c>
      <c r="W142" s="1">
        <v>0</v>
      </c>
      <c r="X142" s="14">
        <v>6083003</v>
      </c>
    </row>
    <row r="143" spans="1:24">
      <c r="A143" s="1" t="s">
        <v>11</v>
      </c>
      <c r="B143" s="26">
        <v>6665</v>
      </c>
      <c r="C143" s="26" t="s">
        <v>267</v>
      </c>
      <c r="D143" s="1" t="s">
        <v>194</v>
      </c>
      <c r="E143" s="11">
        <f t="shared" si="8"/>
        <v>-12499.999999999998</v>
      </c>
      <c r="F143" s="31">
        <v>-1041.6666666666667</v>
      </c>
      <c r="G143" s="31">
        <v>-1041.6666666666667</v>
      </c>
      <c r="H143" s="31">
        <v>-1041.6666666666667</v>
      </c>
      <c r="I143" s="31">
        <v>-1041.6666666666667</v>
      </c>
      <c r="J143" s="31">
        <v>-1041.6666666666667</v>
      </c>
      <c r="K143" s="31">
        <v>-1041.6666666666667</v>
      </c>
      <c r="L143" s="31">
        <v>-1041.6666666666667</v>
      </c>
      <c r="M143" s="31">
        <v>-1041.6666666666667</v>
      </c>
      <c r="N143" s="31">
        <v>-1041.6666666666667</v>
      </c>
      <c r="O143" s="31">
        <v>-1041.6666666666667</v>
      </c>
      <c r="P143" s="31">
        <v>-1041.6666666666667</v>
      </c>
      <c r="Q143" s="31">
        <v>-1041.6666666666667</v>
      </c>
      <c r="R143" s="1">
        <v>6082000</v>
      </c>
      <c r="S143" s="1" t="s">
        <v>268</v>
      </c>
      <c r="T143" s="1" t="s">
        <v>260</v>
      </c>
      <c r="U143" s="1" t="s">
        <v>268</v>
      </c>
      <c r="V143" s="1" t="s">
        <v>214</v>
      </c>
      <c r="W143" s="1">
        <v>0</v>
      </c>
      <c r="X143" s="14">
        <v>6082000</v>
      </c>
    </row>
    <row r="144" spans="1:24">
      <c r="A144" s="1" t="s">
        <v>11</v>
      </c>
      <c r="B144" s="26">
        <v>6340</v>
      </c>
      <c r="C144" s="26" t="s">
        <v>269</v>
      </c>
      <c r="D144" s="1" t="s">
        <v>194</v>
      </c>
      <c r="E144" s="11">
        <f t="shared" si="8"/>
        <v>-54741.359999999993</v>
      </c>
      <c r="F144" s="31">
        <v>-4561.78</v>
      </c>
      <c r="G144" s="31">
        <v>-4561.78</v>
      </c>
      <c r="H144" s="31">
        <v>-4561.78</v>
      </c>
      <c r="I144" s="31">
        <v>-4561.78</v>
      </c>
      <c r="J144" s="31">
        <v>-4561.78</v>
      </c>
      <c r="K144" s="31">
        <v>-4561.78</v>
      </c>
      <c r="L144" s="31">
        <v>-4561.78</v>
      </c>
      <c r="M144" s="31">
        <v>-4561.78</v>
      </c>
      <c r="N144" s="31">
        <v>-4561.78</v>
      </c>
      <c r="O144" s="31">
        <v>-4561.78</v>
      </c>
      <c r="P144" s="31">
        <v>-4561.78</v>
      </c>
      <c r="Q144" s="31">
        <v>-4561.78</v>
      </c>
      <c r="R144" s="1">
        <v>6084000</v>
      </c>
      <c r="S144" s="1" t="s">
        <v>261</v>
      </c>
      <c r="T144" s="1" t="s">
        <v>260</v>
      </c>
      <c r="U144" s="1" t="s">
        <v>262</v>
      </c>
      <c r="V144" s="1" t="s">
        <v>263</v>
      </c>
      <c r="W144" s="1">
        <v>0</v>
      </c>
      <c r="X144" s="14">
        <v>6084000</v>
      </c>
    </row>
    <row r="145" spans="1:24">
      <c r="A145" s="1" t="s">
        <v>11</v>
      </c>
      <c r="B145" s="26">
        <v>6344</v>
      </c>
      <c r="C145" s="26" t="s">
        <v>270</v>
      </c>
      <c r="D145" s="1" t="s">
        <v>194</v>
      </c>
      <c r="E145" s="11">
        <f t="shared" si="8"/>
        <v>-21796</v>
      </c>
      <c r="F145" s="31">
        <v>-1816.3333333333333</v>
      </c>
      <c r="G145" s="31">
        <v>-1816.3333333333333</v>
      </c>
      <c r="H145" s="31">
        <v>-1816.3333333333333</v>
      </c>
      <c r="I145" s="31">
        <v>-1816.3333333333333</v>
      </c>
      <c r="J145" s="31">
        <v>-1816.3333333333333</v>
      </c>
      <c r="K145" s="31">
        <v>-1816.3333333333333</v>
      </c>
      <c r="L145" s="31">
        <v>-1816.3333333333333</v>
      </c>
      <c r="M145" s="31">
        <v>-1816.3333333333333</v>
      </c>
      <c r="N145" s="31">
        <v>-1816.3333333333333</v>
      </c>
      <c r="O145" s="31">
        <v>-1816.3333333333333</v>
      </c>
      <c r="P145" s="31">
        <v>-1816.3333333333333</v>
      </c>
      <c r="Q145" s="31">
        <v>-1816.3333333333333</v>
      </c>
      <c r="R145" s="1">
        <v>6083001</v>
      </c>
      <c r="S145" s="1" t="s">
        <v>271</v>
      </c>
      <c r="T145" s="1" t="s">
        <v>260</v>
      </c>
      <c r="U145" s="1" t="s">
        <v>262</v>
      </c>
      <c r="V145" s="1" t="s">
        <v>263</v>
      </c>
      <c r="W145" s="1">
        <v>0</v>
      </c>
      <c r="X145" s="14">
        <v>6083001</v>
      </c>
    </row>
    <row r="146" spans="1:24">
      <c r="A146" s="1" t="s">
        <v>11</v>
      </c>
      <c r="B146" s="26">
        <v>6400</v>
      </c>
      <c r="C146" s="26" t="s">
        <v>272</v>
      </c>
      <c r="D146" s="1" t="s">
        <v>194</v>
      </c>
      <c r="E146" s="11">
        <f t="shared" si="8"/>
        <v>0</v>
      </c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1">
        <v>6108000</v>
      </c>
      <c r="S146" s="1" t="s">
        <v>239</v>
      </c>
      <c r="T146" s="1" t="s">
        <v>193</v>
      </c>
      <c r="U146" s="1" t="s">
        <v>239</v>
      </c>
      <c r="V146" s="1" t="s">
        <v>214</v>
      </c>
      <c r="W146" s="1">
        <v>0</v>
      </c>
      <c r="X146" s="14">
        <v>6108000</v>
      </c>
    </row>
    <row r="147" spans="1:24">
      <c r="A147" s="1" t="s">
        <v>11</v>
      </c>
      <c r="B147" s="26">
        <v>6405</v>
      </c>
      <c r="C147" s="26" t="s">
        <v>273</v>
      </c>
      <c r="D147" s="1" t="s">
        <v>235</v>
      </c>
      <c r="E147" s="11">
        <f t="shared" si="8"/>
        <v>-5004</v>
      </c>
      <c r="F147" s="31">
        <v>-417</v>
      </c>
      <c r="G147" s="31">
        <v>-417</v>
      </c>
      <c r="H147" s="31">
        <v>-417</v>
      </c>
      <c r="I147" s="31">
        <v>-417</v>
      </c>
      <c r="J147" s="31">
        <v>-417</v>
      </c>
      <c r="K147" s="31">
        <v>-417</v>
      </c>
      <c r="L147" s="31">
        <v>-417</v>
      </c>
      <c r="M147" s="31">
        <v>-417</v>
      </c>
      <c r="N147" s="31">
        <v>-417</v>
      </c>
      <c r="O147" s="31">
        <v>-417</v>
      </c>
      <c r="P147" s="31">
        <v>-417</v>
      </c>
      <c r="Q147" s="31">
        <v>-417</v>
      </c>
      <c r="R147" s="1">
        <v>6012003</v>
      </c>
      <c r="S147" s="1" t="s">
        <v>275</v>
      </c>
      <c r="T147" s="1" t="s">
        <v>234</v>
      </c>
      <c r="U147" s="1" t="s">
        <v>276</v>
      </c>
      <c r="V147" s="1" t="s">
        <v>274</v>
      </c>
      <c r="W147" s="1">
        <v>0</v>
      </c>
      <c r="X147" s="14">
        <v>6012003</v>
      </c>
    </row>
    <row r="148" spans="1:24">
      <c r="A148" s="1" t="s">
        <v>11</v>
      </c>
      <c r="B148" s="26">
        <v>6410</v>
      </c>
      <c r="C148" s="26" t="s">
        <v>277</v>
      </c>
      <c r="D148" s="1" t="s">
        <v>235</v>
      </c>
      <c r="E148" s="11">
        <f t="shared" si="8"/>
        <v>-45552</v>
      </c>
      <c r="F148" s="31">
        <v>-3796</v>
      </c>
      <c r="G148" s="31">
        <v>-3796</v>
      </c>
      <c r="H148" s="31">
        <v>-3796</v>
      </c>
      <c r="I148" s="31">
        <v>-3796</v>
      </c>
      <c r="J148" s="31">
        <v>-3796</v>
      </c>
      <c r="K148" s="31">
        <v>-3796</v>
      </c>
      <c r="L148" s="31">
        <v>-3796</v>
      </c>
      <c r="M148" s="31">
        <v>-3796</v>
      </c>
      <c r="N148" s="31">
        <v>-3796</v>
      </c>
      <c r="O148" s="31">
        <v>-3796</v>
      </c>
      <c r="P148" s="31">
        <v>-3796</v>
      </c>
      <c r="Q148" s="31">
        <v>-3796</v>
      </c>
      <c r="R148" s="1">
        <v>6012003</v>
      </c>
      <c r="S148" s="1" t="s">
        <v>275</v>
      </c>
      <c r="T148" s="1" t="s">
        <v>234</v>
      </c>
      <c r="U148" s="1" t="s">
        <v>276</v>
      </c>
      <c r="V148" s="1" t="s">
        <v>274</v>
      </c>
      <c r="W148" s="1">
        <v>0</v>
      </c>
      <c r="X148" s="14">
        <v>6012003</v>
      </c>
    </row>
    <row r="149" spans="1:24">
      <c r="A149" s="1" t="s">
        <v>11</v>
      </c>
      <c r="B149" s="26">
        <v>6420</v>
      </c>
      <c r="C149" s="26" t="s">
        <v>278</v>
      </c>
      <c r="D149" s="1" t="s">
        <v>235</v>
      </c>
      <c r="E149" s="11">
        <f t="shared" si="8"/>
        <v>-7560</v>
      </c>
      <c r="F149" s="31">
        <v>-630</v>
      </c>
      <c r="G149" s="31">
        <v>-630</v>
      </c>
      <c r="H149" s="31">
        <v>-630</v>
      </c>
      <c r="I149" s="31">
        <v>-630</v>
      </c>
      <c r="J149" s="31">
        <v>-630</v>
      </c>
      <c r="K149" s="31">
        <v>-630</v>
      </c>
      <c r="L149" s="31">
        <v>-630</v>
      </c>
      <c r="M149" s="31">
        <v>-630</v>
      </c>
      <c r="N149" s="31">
        <v>-630</v>
      </c>
      <c r="O149" s="31">
        <v>-630</v>
      </c>
      <c r="P149" s="31">
        <v>-630</v>
      </c>
      <c r="Q149" s="31">
        <v>-630</v>
      </c>
      <c r="R149" s="1">
        <v>6011010</v>
      </c>
      <c r="S149" s="1" t="s">
        <v>278</v>
      </c>
      <c r="T149" s="1" t="s">
        <v>234</v>
      </c>
      <c r="U149" s="1" t="s">
        <v>237</v>
      </c>
      <c r="V149" s="1" t="s">
        <v>274</v>
      </c>
      <c r="W149" s="1">
        <v>0</v>
      </c>
      <c r="X149" s="14">
        <v>6011010</v>
      </c>
    </row>
    <row r="150" spans="1:24">
      <c r="A150" s="1" t="s">
        <v>11</v>
      </c>
      <c r="B150" s="26">
        <v>6430</v>
      </c>
      <c r="C150" s="26" t="s">
        <v>279</v>
      </c>
      <c r="D150" s="1" t="s">
        <v>235</v>
      </c>
      <c r="E150" s="11">
        <f t="shared" si="8"/>
        <v>-11124</v>
      </c>
      <c r="F150" s="31">
        <v>-927</v>
      </c>
      <c r="G150" s="31">
        <v>-927</v>
      </c>
      <c r="H150" s="31">
        <v>-927</v>
      </c>
      <c r="I150" s="31">
        <v>-927</v>
      </c>
      <c r="J150" s="31">
        <v>-927</v>
      </c>
      <c r="K150" s="31">
        <v>-927</v>
      </c>
      <c r="L150" s="31">
        <v>-927</v>
      </c>
      <c r="M150" s="31">
        <v>-927</v>
      </c>
      <c r="N150" s="31">
        <v>-927</v>
      </c>
      <c r="O150" s="31">
        <v>-927</v>
      </c>
      <c r="P150" s="31">
        <v>-927</v>
      </c>
      <c r="Q150" s="31">
        <v>-927</v>
      </c>
      <c r="R150" s="1">
        <v>6011010</v>
      </c>
      <c r="S150" s="1" t="s">
        <v>278</v>
      </c>
      <c r="T150" s="1" t="s">
        <v>234</v>
      </c>
      <c r="U150" s="1" t="s">
        <v>237</v>
      </c>
      <c r="V150" s="1" t="s">
        <v>274</v>
      </c>
      <c r="W150" s="1">
        <v>0</v>
      </c>
      <c r="X150" s="14">
        <v>6011010</v>
      </c>
    </row>
    <row r="151" spans="1:24">
      <c r="A151" s="1" t="s">
        <v>11</v>
      </c>
      <c r="B151" s="26">
        <v>6440</v>
      </c>
      <c r="C151" s="26" t="s">
        <v>280</v>
      </c>
      <c r="D151" s="1" t="s">
        <v>235</v>
      </c>
      <c r="E151" s="11">
        <f t="shared" si="8"/>
        <v>-70000</v>
      </c>
      <c r="F151" s="31">
        <v>0</v>
      </c>
      <c r="G151" s="31">
        <v>0</v>
      </c>
      <c r="H151" s="31">
        <v>-15000</v>
      </c>
      <c r="I151" s="31">
        <v>-15000</v>
      </c>
      <c r="J151" s="31">
        <v>-20000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-20000</v>
      </c>
      <c r="R151" s="1">
        <v>6011009</v>
      </c>
      <c r="S151" s="1" t="s">
        <v>281</v>
      </c>
      <c r="T151" s="1" t="s">
        <v>234</v>
      </c>
      <c r="U151" s="1" t="s">
        <v>237</v>
      </c>
      <c r="V151" s="1" t="s">
        <v>274</v>
      </c>
      <c r="W151" s="1">
        <v>0</v>
      </c>
      <c r="X151" s="14">
        <v>6011009</v>
      </c>
    </row>
    <row r="152" spans="1:24">
      <c r="A152" s="1" t="s">
        <v>11</v>
      </c>
      <c r="B152" s="26">
        <v>6450</v>
      </c>
      <c r="C152" s="26" t="s">
        <v>282</v>
      </c>
      <c r="D152" s="1" t="s">
        <v>235</v>
      </c>
      <c r="E152" s="11">
        <f t="shared" si="8"/>
        <v>-2604</v>
      </c>
      <c r="F152" s="31">
        <v>-217</v>
      </c>
      <c r="G152" s="31">
        <v>-217</v>
      </c>
      <c r="H152" s="31">
        <v>-217</v>
      </c>
      <c r="I152" s="31">
        <v>-217</v>
      </c>
      <c r="J152" s="31">
        <v>-217</v>
      </c>
      <c r="K152" s="31">
        <v>-217</v>
      </c>
      <c r="L152" s="31">
        <v>-217</v>
      </c>
      <c r="M152" s="31">
        <v>-217</v>
      </c>
      <c r="N152" s="31">
        <v>-217</v>
      </c>
      <c r="O152" s="31">
        <v>-217</v>
      </c>
      <c r="P152" s="31">
        <v>-217</v>
      </c>
      <c r="Q152" s="31">
        <v>-217</v>
      </c>
      <c r="R152" s="1">
        <v>6011003</v>
      </c>
      <c r="S152" s="1" t="s">
        <v>283</v>
      </c>
      <c r="T152" s="1" t="s">
        <v>234</v>
      </c>
      <c r="U152" s="1" t="s">
        <v>237</v>
      </c>
      <c r="V152" s="1" t="s">
        <v>274</v>
      </c>
      <c r="W152" s="1">
        <v>0</v>
      </c>
      <c r="X152" s="14">
        <v>6011003</v>
      </c>
    </row>
    <row r="153" spans="1:24">
      <c r="A153" s="1" t="s">
        <v>11</v>
      </c>
      <c r="B153" s="26">
        <v>6460</v>
      </c>
      <c r="C153" s="26" t="s">
        <v>284</v>
      </c>
      <c r="D153" s="1" t="s">
        <v>235</v>
      </c>
      <c r="E153" s="11">
        <f t="shared" si="8"/>
        <v>-1404</v>
      </c>
      <c r="F153" s="31">
        <v>-117</v>
      </c>
      <c r="G153" s="31">
        <v>-117</v>
      </c>
      <c r="H153" s="31">
        <v>-117</v>
      </c>
      <c r="I153" s="31">
        <v>-117</v>
      </c>
      <c r="J153" s="31">
        <v>-117</v>
      </c>
      <c r="K153" s="31">
        <v>-117</v>
      </c>
      <c r="L153" s="31">
        <v>-117</v>
      </c>
      <c r="M153" s="31">
        <v>-117</v>
      </c>
      <c r="N153" s="31">
        <v>-117</v>
      </c>
      <c r="O153" s="31">
        <v>-117</v>
      </c>
      <c r="P153" s="31">
        <v>-117</v>
      </c>
      <c r="Q153" s="31">
        <v>-117</v>
      </c>
      <c r="R153" s="1">
        <v>6011007</v>
      </c>
      <c r="S153" s="1" t="s">
        <v>285</v>
      </c>
      <c r="T153" s="1" t="s">
        <v>234</v>
      </c>
      <c r="U153" s="1" t="s">
        <v>237</v>
      </c>
      <c r="V153" s="1" t="s">
        <v>274</v>
      </c>
      <c r="W153" s="1">
        <v>0</v>
      </c>
      <c r="X153" s="14">
        <v>6011007</v>
      </c>
    </row>
    <row r="154" spans="1:24">
      <c r="A154" s="1" t="s">
        <v>11</v>
      </c>
      <c r="B154" s="26">
        <v>6470</v>
      </c>
      <c r="C154" s="26" t="s">
        <v>286</v>
      </c>
      <c r="D154" s="1" t="s">
        <v>235</v>
      </c>
      <c r="E154" s="11">
        <f t="shared" si="8"/>
        <v>-2352</v>
      </c>
      <c r="F154" s="31">
        <v>-196</v>
      </c>
      <c r="G154" s="31">
        <v>-196</v>
      </c>
      <c r="H154" s="31">
        <v>-196</v>
      </c>
      <c r="I154" s="31">
        <v>-196</v>
      </c>
      <c r="J154" s="31">
        <v>-196</v>
      </c>
      <c r="K154" s="31">
        <v>-196</v>
      </c>
      <c r="L154" s="31">
        <v>-196</v>
      </c>
      <c r="M154" s="31">
        <v>-196</v>
      </c>
      <c r="N154" s="31">
        <v>-196</v>
      </c>
      <c r="O154" s="31">
        <v>-196</v>
      </c>
      <c r="P154" s="31">
        <v>-196</v>
      </c>
      <c r="Q154" s="31">
        <v>-196</v>
      </c>
      <c r="R154" s="1">
        <v>6011011</v>
      </c>
      <c r="S154" s="1" t="s">
        <v>287</v>
      </c>
      <c r="T154" s="1" t="s">
        <v>234</v>
      </c>
      <c r="U154" s="1" t="s">
        <v>237</v>
      </c>
      <c r="V154" s="1" t="s">
        <v>274</v>
      </c>
      <c r="W154" s="1">
        <v>0</v>
      </c>
      <c r="X154" s="14">
        <v>6011011</v>
      </c>
    </row>
    <row r="155" spans="1:24">
      <c r="A155" s="1" t="s">
        <v>11</v>
      </c>
      <c r="B155" s="26">
        <v>6480</v>
      </c>
      <c r="C155" s="26" t="s">
        <v>288</v>
      </c>
      <c r="D155" s="1" t="s">
        <v>235</v>
      </c>
      <c r="E155" s="11">
        <f t="shared" si="8"/>
        <v>-15000</v>
      </c>
      <c r="F155" s="31">
        <v>0</v>
      </c>
      <c r="G155" s="31">
        <v>0</v>
      </c>
      <c r="H155" s="31">
        <v>-1000</v>
      </c>
      <c r="I155" s="31">
        <v>-1000</v>
      </c>
      <c r="J155" s="31">
        <v>-6500</v>
      </c>
      <c r="K155" s="31">
        <v>0</v>
      </c>
      <c r="L155" s="31">
        <v>0</v>
      </c>
      <c r="M155" s="31">
        <v>0</v>
      </c>
      <c r="N155" s="31">
        <v>-6500</v>
      </c>
      <c r="O155" s="31">
        <v>0</v>
      </c>
      <c r="P155" s="31">
        <v>0</v>
      </c>
      <c r="Q155" s="31">
        <v>0</v>
      </c>
      <c r="R155" s="1">
        <v>6011009</v>
      </c>
      <c r="S155" s="1" t="s">
        <v>281</v>
      </c>
      <c r="T155" s="1" t="s">
        <v>234</v>
      </c>
      <c r="U155" s="1" t="s">
        <v>237</v>
      </c>
      <c r="V155" s="1" t="s">
        <v>289</v>
      </c>
      <c r="W155" s="1" t="s">
        <v>290</v>
      </c>
      <c r="X155" s="14">
        <v>6011009</v>
      </c>
    </row>
    <row r="156" spans="1:24">
      <c r="A156" s="1" t="s">
        <v>11</v>
      </c>
      <c r="B156" s="26">
        <v>6485</v>
      </c>
      <c r="C156" s="26" t="s">
        <v>291</v>
      </c>
      <c r="D156" s="1" t="s">
        <v>235</v>
      </c>
      <c r="E156" s="11">
        <f t="shared" si="8"/>
        <v>-1000</v>
      </c>
      <c r="F156" s="31">
        <v>0</v>
      </c>
      <c r="G156" s="31">
        <v>0</v>
      </c>
      <c r="H156" s="31">
        <v>-250</v>
      </c>
      <c r="I156" s="31">
        <v>-250</v>
      </c>
      <c r="J156" s="31">
        <v>-250</v>
      </c>
      <c r="K156" s="31">
        <v>0</v>
      </c>
      <c r="L156" s="31">
        <v>0</v>
      </c>
      <c r="M156" s="31">
        <v>0</v>
      </c>
      <c r="N156" s="31">
        <v>-250</v>
      </c>
      <c r="O156" s="31">
        <v>0</v>
      </c>
      <c r="P156" s="31">
        <v>0</v>
      </c>
      <c r="Q156" s="31">
        <v>0</v>
      </c>
      <c r="R156" s="1">
        <v>6011009</v>
      </c>
      <c r="S156" s="1" t="s">
        <v>281</v>
      </c>
      <c r="T156" s="1" t="s">
        <v>234</v>
      </c>
      <c r="U156" s="1" t="s">
        <v>237</v>
      </c>
      <c r="V156" s="1" t="s">
        <v>289</v>
      </c>
      <c r="W156" s="1" t="s">
        <v>290</v>
      </c>
      <c r="X156" s="14">
        <v>6011009</v>
      </c>
    </row>
    <row r="157" spans="1:24">
      <c r="A157" s="1" t="s">
        <v>11</v>
      </c>
      <c r="B157" s="26">
        <v>6490</v>
      </c>
      <c r="C157" s="26" t="s">
        <v>292</v>
      </c>
      <c r="D157" s="1" t="s">
        <v>235</v>
      </c>
      <c r="E157" s="11">
        <f t="shared" si="8"/>
        <v>-1000</v>
      </c>
      <c r="F157" s="31">
        <v>0</v>
      </c>
      <c r="G157" s="31">
        <v>0</v>
      </c>
      <c r="H157" s="31">
        <v>-250</v>
      </c>
      <c r="I157" s="31">
        <v>-250</v>
      </c>
      <c r="J157" s="31">
        <v>-250</v>
      </c>
      <c r="K157" s="31">
        <v>0</v>
      </c>
      <c r="L157" s="31">
        <v>0</v>
      </c>
      <c r="M157" s="31">
        <v>0</v>
      </c>
      <c r="N157" s="31">
        <v>-250</v>
      </c>
      <c r="O157" s="31">
        <v>0</v>
      </c>
      <c r="P157" s="31">
        <v>0</v>
      </c>
      <c r="Q157" s="31">
        <v>0</v>
      </c>
      <c r="R157" s="1">
        <v>6011009</v>
      </c>
      <c r="S157" s="1" t="s">
        <v>281</v>
      </c>
      <c r="T157" s="1" t="s">
        <v>234</v>
      </c>
      <c r="U157" s="1" t="s">
        <v>237</v>
      </c>
      <c r="V157" s="1" t="s">
        <v>289</v>
      </c>
      <c r="W157" s="1" t="s">
        <v>290</v>
      </c>
      <c r="X157" s="14">
        <v>6011009</v>
      </c>
    </row>
    <row r="158" spans="1:24">
      <c r="A158" s="1" t="s">
        <v>11</v>
      </c>
      <c r="B158" s="26">
        <v>6510</v>
      </c>
      <c r="C158" s="26" t="s">
        <v>293</v>
      </c>
      <c r="D158" s="1" t="s">
        <v>194</v>
      </c>
      <c r="E158" s="11">
        <f t="shared" si="8"/>
        <v>-6000</v>
      </c>
      <c r="F158" s="31">
        <v>-500</v>
      </c>
      <c r="G158" s="31">
        <v>-500</v>
      </c>
      <c r="H158" s="31">
        <v>-500</v>
      </c>
      <c r="I158" s="31">
        <v>-500</v>
      </c>
      <c r="J158" s="31">
        <v>-500</v>
      </c>
      <c r="K158" s="31">
        <v>-500</v>
      </c>
      <c r="L158" s="31">
        <v>-500</v>
      </c>
      <c r="M158" s="31">
        <v>-500</v>
      </c>
      <c r="N158" s="31">
        <v>-500</v>
      </c>
      <c r="O158" s="31">
        <v>-500</v>
      </c>
      <c r="P158" s="31">
        <v>-500</v>
      </c>
      <c r="Q158" s="31">
        <v>-500</v>
      </c>
      <c r="R158" s="1">
        <v>6102001</v>
      </c>
      <c r="S158" s="1" t="s">
        <v>294</v>
      </c>
      <c r="T158" s="1" t="s">
        <v>193</v>
      </c>
      <c r="U158" s="1" t="s">
        <v>295</v>
      </c>
      <c r="V158" s="1" t="s">
        <v>289</v>
      </c>
      <c r="W158" s="1">
        <v>0</v>
      </c>
      <c r="X158" s="14">
        <v>6102001</v>
      </c>
    </row>
    <row r="159" spans="1:24">
      <c r="A159" s="1" t="s">
        <v>11</v>
      </c>
      <c r="B159" s="26">
        <v>6520</v>
      </c>
      <c r="C159" s="26" t="s">
        <v>296</v>
      </c>
      <c r="D159" s="1" t="s">
        <v>194</v>
      </c>
      <c r="E159" s="11">
        <f t="shared" si="8"/>
        <v>-1100</v>
      </c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>
        <v>-1100</v>
      </c>
      <c r="Q159" s="31"/>
      <c r="R159" s="1">
        <v>6102002</v>
      </c>
      <c r="S159" s="1" t="s">
        <v>296</v>
      </c>
      <c r="T159" s="1" t="s">
        <v>193</v>
      </c>
      <c r="U159" s="1" t="s">
        <v>295</v>
      </c>
      <c r="V159" s="1" t="s">
        <v>214</v>
      </c>
      <c r="W159" s="1">
        <v>0</v>
      </c>
      <c r="X159" s="14">
        <v>6102002</v>
      </c>
    </row>
    <row r="160" spans="1:24">
      <c r="A160" s="1" t="s">
        <v>11</v>
      </c>
      <c r="B160" s="26">
        <v>6530</v>
      </c>
      <c r="C160" s="26" t="s">
        <v>297</v>
      </c>
      <c r="D160" s="1" t="s">
        <v>194</v>
      </c>
      <c r="E160" s="11">
        <f t="shared" si="8"/>
        <v>-4000</v>
      </c>
      <c r="F160" s="31"/>
      <c r="G160" s="31"/>
      <c r="H160" s="31">
        <v>-1000</v>
      </c>
      <c r="I160" s="31"/>
      <c r="J160" s="31"/>
      <c r="K160" s="31">
        <v>-1000</v>
      </c>
      <c r="L160" s="31"/>
      <c r="M160" s="31"/>
      <c r="N160" s="31">
        <v>-1000</v>
      </c>
      <c r="O160" s="31"/>
      <c r="P160" s="31"/>
      <c r="Q160" s="31">
        <v>-1000</v>
      </c>
      <c r="R160" s="1">
        <v>6102003</v>
      </c>
      <c r="S160" s="1" t="s">
        <v>298</v>
      </c>
      <c r="T160" s="1" t="s">
        <v>193</v>
      </c>
      <c r="U160" s="1" t="s">
        <v>295</v>
      </c>
      <c r="V160" s="1" t="s">
        <v>299</v>
      </c>
      <c r="W160" s="1">
        <v>0</v>
      </c>
      <c r="X160" s="14">
        <v>6102003</v>
      </c>
    </row>
    <row r="161" spans="1:24">
      <c r="A161" s="1" t="s">
        <v>11</v>
      </c>
      <c r="B161" s="26">
        <v>6110</v>
      </c>
      <c r="C161" s="26" t="s">
        <v>300</v>
      </c>
      <c r="D161" s="1" t="s">
        <v>194</v>
      </c>
      <c r="E161" s="11">
        <f t="shared" si="8"/>
        <v>-7200</v>
      </c>
      <c r="F161" s="31">
        <v>-600</v>
      </c>
      <c r="G161" s="31">
        <v>-600</v>
      </c>
      <c r="H161" s="31">
        <v>-600</v>
      </c>
      <c r="I161" s="31">
        <v>-600</v>
      </c>
      <c r="J161" s="31">
        <v>-600</v>
      </c>
      <c r="K161" s="31">
        <v>-600</v>
      </c>
      <c r="L161" s="31">
        <v>-600</v>
      </c>
      <c r="M161" s="31">
        <v>-600</v>
      </c>
      <c r="N161" s="31">
        <v>-600</v>
      </c>
      <c r="O161" s="31">
        <v>-600</v>
      </c>
      <c r="P161" s="31">
        <v>-600</v>
      </c>
      <c r="Q161" s="31">
        <v>-600</v>
      </c>
      <c r="R161" s="1">
        <v>6081001</v>
      </c>
      <c r="S161" s="1" t="s">
        <v>302</v>
      </c>
      <c r="T161" s="1" t="s">
        <v>260</v>
      </c>
      <c r="U161" s="1" t="s">
        <v>303</v>
      </c>
      <c r="V161" s="1" t="s">
        <v>301</v>
      </c>
      <c r="W161" s="1">
        <v>0</v>
      </c>
      <c r="X161" s="14">
        <v>6081001</v>
      </c>
    </row>
    <row r="162" spans="1:24">
      <c r="A162" s="1" t="s">
        <v>11</v>
      </c>
      <c r="B162" s="26">
        <v>6611</v>
      </c>
      <c r="C162" s="26" t="s">
        <v>304</v>
      </c>
      <c r="D162" s="1" t="s">
        <v>194</v>
      </c>
      <c r="E162" s="11">
        <f t="shared" si="8"/>
        <v>-199680</v>
      </c>
      <c r="F162" s="31">
        <v>-16640</v>
      </c>
      <c r="G162" s="31">
        <v>-16640</v>
      </c>
      <c r="H162" s="31">
        <v>-16640</v>
      </c>
      <c r="I162" s="31">
        <v>-16640</v>
      </c>
      <c r="J162" s="31">
        <v>-16640</v>
      </c>
      <c r="K162" s="31">
        <v>-16640</v>
      </c>
      <c r="L162" s="31">
        <v>-16640</v>
      </c>
      <c r="M162" s="31">
        <v>-16640</v>
      </c>
      <c r="N162" s="31">
        <v>-16640</v>
      </c>
      <c r="O162" s="31">
        <v>-16640</v>
      </c>
      <c r="P162" s="31">
        <v>-16640</v>
      </c>
      <c r="Q162" s="31">
        <v>-16640</v>
      </c>
      <c r="R162" s="1">
        <v>6042004</v>
      </c>
      <c r="S162" s="1" t="s">
        <v>306</v>
      </c>
      <c r="T162" s="1" t="s">
        <v>193</v>
      </c>
      <c r="U162" s="1" t="s">
        <v>307</v>
      </c>
      <c r="V162" s="1" t="s">
        <v>305</v>
      </c>
      <c r="W162" s="1">
        <v>0</v>
      </c>
      <c r="X162" s="14">
        <v>6042004</v>
      </c>
    </row>
    <row r="163" spans="1:24">
      <c r="A163" s="1" t="s">
        <v>11</v>
      </c>
      <c r="B163" s="26">
        <v>6614</v>
      </c>
      <c r="C163" s="26" t="s">
        <v>308</v>
      </c>
      <c r="D163" s="1" t="s">
        <v>194</v>
      </c>
      <c r="E163" s="11"/>
      <c r="F163" s="31">
        <v>16640</v>
      </c>
      <c r="G163" s="31">
        <v>16640</v>
      </c>
      <c r="H163" s="31">
        <v>16640</v>
      </c>
      <c r="I163" s="31">
        <v>16640</v>
      </c>
      <c r="J163" s="31">
        <v>16640</v>
      </c>
      <c r="K163" s="31">
        <v>16640</v>
      </c>
      <c r="L163" s="31">
        <v>16640</v>
      </c>
      <c r="M163" s="31">
        <v>16640</v>
      </c>
      <c r="N163" s="31">
        <v>16640</v>
      </c>
      <c r="O163" s="31">
        <v>16640</v>
      </c>
      <c r="P163" s="31">
        <v>16640</v>
      </c>
      <c r="Q163" s="31">
        <v>16640</v>
      </c>
      <c r="R163" s="1">
        <v>6042004</v>
      </c>
      <c r="S163" s="1" t="s">
        <v>306</v>
      </c>
      <c r="T163" s="1" t="s">
        <v>193</v>
      </c>
      <c r="U163" s="1" t="s">
        <v>307</v>
      </c>
      <c r="X163" s="14"/>
    </row>
    <row r="164" spans="1:24">
      <c r="A164" s="1" t="s">
        <v>11</v>
      </c>
      <c r="B164" s="26">
        <v>6619</v>
      </c>
      <c r="C164" s="26" t="s">
        <v>309</v>
      </c>
      <c r="D164" s="1" t="s">
        <v>194</v>
      </c>
      <c r="E164" s="11">
        <f t="shared" ref="E164:E227" si="9">SUM(F164:Q164)</f>
        <v>0</v>
      </c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1">
        <v>6042004</v>
      </c>
      <c r="S164" s="1" t="s">
        <v>306</v>
      </c>
      <c r="T164" s="1" t="s">
        <v>193</v>
      </c>
      <c r="U164" s="1" t="s">
        <v>307</v>
      </c>
      <c r="V164" s="1" t="s">
        <v>305</v>
      </c>
      <c r="W164" s="1">
        <v>0</v>
      </c>
      <c r="X164" s="14">
        <v>6042004</v>
      </c>
    </row>
    <row r="165" spans="1:24">
      <c r="A165" s="1" t="s">
        <v>11</v>
      </c>
      <c r="B165" s="26">
        <v>6621</v>
      </c>
      <c r="C165" s="26" t="s">
        <v>310</v>
      </c>
      <c r="D165" s="1" t="s">
        <v>194</v>
      </c>
      <c r="E165" s="11">
        <f t="shared" si="9"/>
        <v>-58800</v>
      </c>
      <c r="F165" s="31">
        <v>-4900</v>
      </c>
      <c r="G165" s="31">
        <v>-4900</v>
      </c>
      <c r="H165" s="31">
        <v>-4900</v>
      </c>
      <c r="I165" s="31">
        <v>-4900</v>
      </c>
      <c r="J165" s="31">
        <v>-4900</v>
      </c>
      <c r="K165" s="31">
        <v>-4900</v>
      </c>
      <c r="L165" s="31">
        <v>-4900</v>
      </c>
      <c r="M165" s="31">
        <v>-4900</v>
      </c>
      <c r="N165" s="31">
        <v>-4900</v>
      </c>
      <c r="O165" s="31">
        <v>-4900</v>
      </c>
      <c r="P165" s="31">
        <v>-4900</v>
      </c>
      <c r="Q165" s="31">
        <v>-4900</v>
      </c>
      <c r="R165" s="1">
        <v>6041002</v>
      </c>
      <c r="S165" s="1" t="s">
        <v>311</v>
      </c>
      <c r="T165" s="1" t="s">
        <v>193</v>
      </c>
      <c r="U165" s="1" t="s">
        <v>301</v>
      </c>
      <c r="V165" s="1" t="s">
        <v>305</v>
      </c>
      <c r="W165" s="1">
        <v>0</v>
      </c>
      <c r="X165" s="14">
        <v>6041002</v>
      </c>
    </row>
    <row r="166" spans="1:24">
      <c r="A166" s="1" t="s">
        <v>11</v>
      </c>
      <c r="B166" s="26">
        <v>6631</v>
      </c>
      <c r="C166" s="26" t="s">
        <v>312</v>
      </c>
      <c r="D166" s="1" t="s">
        <v>194</v>
      </c>
      <c r="E166" s="11">
        <f t="shared" si="9"/>
        <v>-25200</v>
      </c>
      <c r="F166" s="31">
        <v>-2100</v>
      </c>
      <c r="G166" s="31">
        <v>-2100</v>
      </c>
      <c r="H166" s="31">
        <v>-2100</v>
      </c>
      <c r="I166" s="31">
        <v>-2100</v>
      </c>
      <c r="J166" s="31">
        <v>-2100</v>
      </c>
      <c r="K166" s="31">
        <v>-2100</v>
      </c>
      <c r="L166" s="31">
        <v>-2100</v>
      </c>
      <c r="M166" s="31">
        <v>-2100</v>
      </c>
      <c r="N166" s="31">
        <v>-2100</v>
      </c>
      <c r="O166" s="31">
        <v>-2100</v>
      </c>
      <c r="P166" s="31">
        <v>-2100</v>
      </c>
      <c r="Q166" s="31">
        <v>-2100</v>
      </c>
      <c r="R166" s="1">
        <v>6062000</v>
      </c>
      <c r="S166" s="1" t="s">
        <v>314</v>
      </c>
      <c r="T166" s="1" t="s">
        <v>313</v>
      </c>
      <c r="U166" s="1" t="s">
        <v>313</v>
      </c>
      <c r="V166" s="1" t="s">
        <v>299</v>
      </c>
      <c r="W166" s="1">
        <v>0</v>
      </c>
      <c r="X166" s="14">
        <v>6062000</v>
      </c>
    </row>
    <row r="167" spans="1:24">
      <c r="A167" s="1" t="s">
        <v>11</v>
      </c>
      <c r="B167" s="26">
        <v>6641</v>
      </c>
      <c r="C167" s="26" t="s">
        <v>315</v>
      </c>
      <c r="D167" s="1" t="s">
        <v>194</v>
      </c>
      <c r="E167" s="11">
        <f t="shared" si="9"/>
        <v>-20400</v>
      </c>
      <c r="F167" s="31">
        <v>-1700</v>
      </c>
      <c r="G167" s="31">
        <v>-1700</v>
      </c>
      <c r="H167" s="31">
        <v>-1700</v>
      </c>
      <c r="I167" s="31">
        <v>-1700</v>
      </c>
      <c r="J167" s="31">
        <v>-1700</v>
      </c>
      <c r="K167" s="31">
        <v>-1700</v>
      </c>
      <c r="L167" s="31">
        <v>-1700</v>
      </c>
      <c r="M167" s="31">
        <v>-1700</v>
      </c>
      <c r="N167" s="31">
        <v>-1700</v>
      </c>
      <c r="O167" s="31">
        <v>-1700</v>
      </c>
      <c r="P167" s="31">
        <v>-1700</v>
      </c>
      <c r="Q167" s="31">
        <v>-1700</v>
      </c>
      <c r="R167" s="1">
        <v>6041001</v>
      </c>
      <c r="S167" s="1" t="s">
        <v>316</v>
      </c>
      <c r="T167" s="1" t="s">
        <v>193</v>
      </c>
      <c r="U167" s="1" t="s">
        <v>301</v>
      </c>
      <c r="V167" s="1" t="s">
        <v>301</v>
      </c>
      <c r="W167" s="1">
        <v>0</v>
      </c>
      <c r="X167" s="14">
        <v>6041001</v>
      </c>
    </row>
    <row r="168" spans="1:24">
      <c r="A168" s="1" t="s">
        <v>11</v>
      </c>
      <c r="B168" s="26">
        <v>6651</v>
      </c>
      <c r="C168" s="26" t="s">
        <v>317</v>
      </c>
      <c r="D168" s="1" t="s">
        <v>194</v>
      </c>
      <c r="E168" s="11">
        <f t="shared" si="9"/>
        <v>-6000</v>
      </c>
      <c r="F168" s="31">
        <v>-500</v>
      </c>
      <c r="G168" s="31">
        <v>-500</v>
      </c>
      <c r="H168" s="31">
        <v>-500</v>
      </c>
      <c r="I168" s="31">
        <v>-500</v>
      </c>
      <c r="J168" s="31">
        <v>-500</v>
      </c>
      <c r="K168" s="31">
        <v>-500</v>
      </c>
      <c r="L168" s="31">
        <v>-500</v>
      </c>
      <c r="M168" s="31">
        <v>-500</v>
      </c>
      <c r="N168" s="31">
        <v>-500</v>
      </c>
      <c r="O168" s="31">
        <v>-500</v>
      </c>
      <c r="P168" s="31">
        <v>-500</v>
      </c>
      <c r="Q168" s="31">
        <v>-500</v>
      </c>
      <c r="R168" s="1">
        <v>6061000</v>
      </c>
      <c r="S168" s="1" t="s">
        <v>318</v>
      </c>
      <c r="T168" s="1" t="s">
        <v>313</v>
      </c>
      <c r="U168" s="1" t="s">
        <v>313</v>
      </c>
      <c r="V168" s="1" t="s">
        <v>299</v>
      </c>
      <c r="W168" s="1">
        <v>0</v>
      </c>
      <c r="X168" s="14">
        <v>6061000</v>
      </c>
    </row>
    <row r="169" spans="1:24">
      <c r="A169" s="1" t="s">
        <v>11</v>
      </c>
      <c r="B169" s="26">
        <v>6661</v>
      </c>
      <c r="C169" s="26" t="s">
        <v>319</v>
      </c>
      <c r="D169" s="1" t="s">
        <v>194</v>
      </c>
      <c r="E169" s="11">
        <f t="shared" si="9"/>
        <v>-7200</v>
      </c>
      <c r="F169" s="31">
        <v>-600</v>
      </c>
      <c r="G169" s="31">
        <v>-600</v>
      </c>
      <c r="H169" s="31">
        <v>-600</v>
      </c>
      <c r="I169" s="31">
        <v>-600</v>
      </c>
      <c r="J169" s="31">
        <v>-600</v>
      </c>
      <c r="K169" s="31">
        <v>-600</v>
      </c>
      <c r="L169" s="31">
        <v>-600</v>
      </c>
      <c r="M169" s="31">
        <v>-600</v>
      </c>
      <c r="N169" s="31">
        <v>-600</v>
      </c>
      <c r="O169" s="31">
        <v>-600</v>
      </c>
      <c r="P169" s="31">
        <v>-600</v>
      </c>
      <c r="Q169" s="31">
        <v>-600</v>
      </c>
      <c r="R169" s="1">
        <v>6101005</v>
      </c>
      <c r="S169" s="1" t="s">
        <v>320</v>
      </c>
      <c r="T169" s="1" t="s">
        <v>193</v>
      </c>
      <c r="U169" s="1" t="s">
        <v>321</v>
      </c>
      <c r="V169" s="1" t="s">
        <v>214</v>
      </c>
      <c r="W169" s="1">
        <v>0</v>
      </c>
      <c r="X169" s="14">
        <v>6101005</v>
      </c>
    </row>
    <row r="170" spans="1:24">
      <c r="A170" s="1" t="s">
        <v>11</v>
      </c>
      <c r="B170" s="26">
        <v>6671</v>
      </c>
      <c r="C170" s="26" t="s">
        <v>322</v>
      </c>
      <c r="D170" s="1" t="s">
        <v>194</v>
      </c>
      <c r="E170" s="11">
        <f t="shared" si="9"/>
        <v>-1200</v>
      </c>
      <c r="F170" s="31">
        <v>-100</v>
      </c>
      <c r="G170" s="31">
        <v>-100</v>
      </c>
      <c r="H170" s="31">
        <v>-100</v>
      </c>
      <c r="I170" s="31">
        <v>-100</v>
      </c>
      <c r="J170" s="31">
        <v>-100</v>
      </c>
      <c r="K170" s="31">
        <v>-100</v>
      </c>
      <c r="L170" s="31">
        <v>-100</v>
      </c>
      <c r="M170" s="31">
        <v>-100</v>
      </c>
      <c r="N170" s="31">
        <v>-100</v>
      </c>
      <c r="O170" s="31">
        <v>-100</v>
      </c>
      <c r="P170" s="31">
        <v>-100</v>
      </c>
      <c r="Q170" s="31">
        <v>-100</v>
      </c>
      <c r="R170" s="1">
        <v>6042009</v>
      </c>
      <c r="S170" s="1" t="s">
        <v>323</v>
      </c>
      <c r="T170" s="1" t="s">
        <v>193</v>
      </c>
      <c r="U170" s="1" t="s">
        <v>307</v>
      </c>
      <c r="V170" s="1" t="s">
        <v>214</v>
      </c>
      <c r="W170" s="1">
        <v>0</v>
      </c>
      <c r="X170" s="14">
        <v>6042009</v>
      </c>
    </row>
    <row r="171" spans="1:24">
      <c r="A171" s="1" t="s">
        <v>11</v>
      </c>
      <c r="B171" s="26">
        <v>6121</v>
      </c>
      <c r="C171" s="26" t="s">
        <v>324</v>
      </c>
      <c r="D171" s="1" t="s">
        <v>194</v>
      </c>
      <c r="E171" s="11">
        <f t="shared" si="9"/>
        <v>-6000</v>
      </c>
      <c r="F171" s="31">
        <v>-500</v>
      </c>
      <c r="G171" s="31">
        <v>-500</v>
      </c>
      <c r="H171" s="31">
        <v>-500</v>
      </c>
      <c r="I171" s="31">
        <v>-500</v>
      </c>
      <c r="J171" s="31">
        <v>-500</v>
      </c>
      <c r="K171" s="31">
        <v>-500</v>
      </c>
      <c r="L171" s="31">
        <v>-500</v>
      </c>
      <c r="M171" s="31">
        <v>-500</v>
      </c>
      <c r="N171" s="31">
        <v>-500</v>
      </c>
      <c r="O171" s="31">
        <v>-500</v>
      </c>
      <c r="P171" s="31">
        <v>-500</v>
      </c>
      <c r="Q171" s="31">
        <v>-500</v>
      </c>
      <c r="R171" s="1">
        <v>6081001</v>
      </c>
      <c r="S171" s="1" t="s">
        <v>302</v>
      </c>
      <c r="T171" s="1" t="s">
        <v>260</v>
      </c>
      <c r="U171" s="1" t="s">
        <v>303</v>
      </c>
      <c r="V171" s="1" t="s">
        <v>301</v>
      </c>
      <c r="W171" s="1">
        <v>0</v>
      </c>
      <c r="X171" s="14">
        <v>6081001</v>
      </c>
    </row>
    <row r="172" spans="1:24">
      <c r="A172" s="1" t="s">
        <v>11</v>
      </c>
      <c r="B172" s="26">
        <v>6131</v>
      </c>
      <c r="C172" s="26" t="s">
        <v>325</v>
      </c>
      <c r="D172" s="1" t="s">
        <v>194</v>
      </c>
      <c r="E172" s="11">
        <f t="shared" si="9"/>
        <v>-1850</v>
      </c>
      <c r="F172" s="31">
        <v>-150</v>
      </c>
      <c r="G172" s="31">
        <v>-150</v>
      </c>
      <c r="H172" s="31">
        <v>-150</v>
      </c>
      <c r="I172" s="31">
        <v>-150</v>
      </c>
      <c r="J172" s="31">
        <v>-150</v>
      </c>
      <c r="K172" s="31">
        <v>-150</v>
      </c>
      <c r="L172" s="31">
        <v>-150</v>
      </c>
      <c r="M172" s="31">
        <v>-150</v>
      </c>
      <c r="N172" s="31">
        <v>-150</v>
      </c>
      <c r="O172" s="31">
        <v>-150</v>
      </c>
      <c r="P172" s="31">
        <v>-150</v>
      </c>
      <c r="Q172" s="31">
        <v>-200</v>
      </c>
      <c r="R172" s="1">
        <v>6081001</v>
      </c>
      <c r="S172" s="1" t="s">
        <v>302</v>
      </c>
      <c r="T172" s="1" t="s">
        <v>260</v>
      </c>
      <c r="U172" s="1" t="s">
        <v>303</v>
      </c>
      <c r="V172" s="1" t="s">
        <v>301</v>
      </c>
      <c r="W172" s="1">
        <v>0</v>
      </c>
      <c r="X172" s="14">
        <v>6081001</v>
      </c>
    </row>
    <row r="173" spans="1:24">
      <c r="A173" s="1" t="s">
        <v>11</v>
      </c>
      <c r="B173" s="26">
        <v>6132</v>
      </c>
      <c r="C173" s="26" t="s">
        <v>326</v>
      </c>
      <c r="D173" s="1" t="s">
        <v>194</v>
      </c>
      <c r="E173" s="11">
        <f t="shared" si="9"/>
        <v>0</v>
      </c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1">
        <v>6081001</v>
      </c>
      <c r="S173" s="1" t="s">
        <v>302</v>
      </c>
      <c r="T173" s="1" t="s">
        <v>260</v>
      </c>
      <c r="U173" s="1" t="s">
        <v>303</v>
      </c>
      <c r="V173" s="1" t="s">
        <v>301</v>
      </c>
      <c r="W173" s="1">
        <v>0</v>
      </c>
      <c r="X173" s="14">
        <v>6081001</v>
      </c>
    </row>
    <row r="174" spans="1:24">
      <c r="A174" s="1" t="s">
        <v>11</v>
      </c>
      <c r="B174" s="26">
        <v>6612</v>
      </c>
      <c r="C174" s="26" t="s">
        <v>327</v>
      </c>
      <c r="D174" s="1" t="s">
        <v>194</v>
      </c>
      <c r="E174" s="11">
        <f t="shared" si="9"/>
        <v>-31200</v>
      </c>
      <c r="F174" s="31">
        <v>-2600</v>
      </c>
      <c r="G174" s="31">
        <v>-2600</v>
      </c>
      <c r="H174" s="31">
        <v>-2600</v>
      </c>
      <c r="I174" s="31">
        <v>-2600</v>
      </c>
      <c r="J174" s="31">
        <v>-2600</v>
      </c>
      <c r="K174" s="31">
        <v>-2600</v>
      </c>
      <c r="L174" s="31">
        <v>-2600</v>
      </c>
      <c r="M174" s="31">
        <v>-2600</v>
      </c>
      <c r="N174" s="31">
        <v>-2600</v>
      </c>
      <c r="O174" s="31">
        <v>-2600</v>
      </c>
      <c r="P174" s="31">
        <v>-2600</v>
      </c>
      <c r="Q174" s="31">
        <v>-2600</v>
      </c>
      <c r="R174" s="1">
        <v>6042004</v>
      </c>
      <c r="S174" s="1" t="s">
        <v>306</v>
      </c>
      <c r="T174" s="1" t="s">
        <v>193</v>
      </c>
      <c r="U174" s="1" t="s">
        <v>307</v>
      </c>
      <c r="V174" s="1" t="s">
        <v>305</v>
      </c>
      <c r="W174" s="1">
        <v>0</v>
      </c>
      <c r="X174" s="14">
        <v>6042004</v>
      </c>
    </row>
    <row r="175" spans="1:24">
      <c r="A175" s="1" t="s">
        <v>11</v>
      </c>
      <c r="B175" s="26">
        <v>6622</v>
      </c>
      <c r="C175" s="26" t="s">
        <v>328</v>
      </c>
      <c r="D175" s="1" t="s">
        <v>194</v>
      </c>
      <c r="E175" s="11">
        <f t="shared" si="9"/>
        <v>0</v>
      </c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1">
        <v>6041002</v>
      </c>
      <c r="S175" s="1" t="s">
        <v>311</v>
      </c>
      <c r="T175" s="1" t="s">
        <v>193</v>
      </c>
      <c r="U175" s="1" t="s">
        <v>301</v>
      </c>
      <c r="V175" s="1" t="s">
        <v>299</v>
      </c>
      <c r="W175" s="1">
        <v>0</v>
      </c>
      <c r="X175" s="14">
        <v>6041002</v>
      </c>
    </row>
    <row r="176" spans="1:24">
      <c r="A176" s="1" t="s">
        <v>11</v>
      </c>
      <c r="B176" s="26">
        <v>6662</v>
      </c>
      <c r="C176" s="26" t="s">
        <v>329</v>
      </c>
      <c r="D176" s="1" t="s">
        <v>194</v>
      </c>
      <c r="E176" s="11">
        <f t="shared" si="9"/>
        <v>0</v>
      </c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1">
        <v>6101005</v>
      </c>
      <c r="S176" s="1" t="s">
        <v>320</v>
      </c>
      <c r="T176" s="1" t="s">
        <v>193</v>
      </c>
      <c r="U176" s="1" t="s">
        <v>321</v>
      </c>
      <c r="V176" s="1" t="s">
        <v>214</v>
      </c>
      <c r="W176" s="1">
        <v>0</v>
      </c>
      <c r="X176" s="14">
        <v>6101005</v>
      </c>
    </row>
    <row r="177" spans="1:24">
      <c r="A177" s="1" t="s">
        <v>11</v>
      </c>
      <c r="B177" s="26">
        <v>6122</v>
      </c>
      <c r="C177" s="26" t="s">
        <v>330</v>
      </c>
      <c r="D177" s="1" t="s">
        <v>194</v>
      </c>
      <c r="E177" s="11">
        <f t="shared" si="9"/>
        <v>0</v>
      </c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1">
        <v>6081001</v>
      </c>
      <c r="S177" s="1" t="s">
        <v>302</v>
      </c>
      <c r="T177" s="1" t="s">
        <v>260</v>
      </c>
      <c r="U177" s="1" t="s">
        <v>303</v>
      </c>
      <c r="V177" s="1" t="s">
        <v>301</v>
      </c>
      <c r="W177" s="1">
        <v>0</v>
      </c>
      <c r="X177" s="14">
        <v>6081001</v>
      </c>
    </row>
    <row r="178" spans="1:24">
      <c r="A178" s="1" t="s">
        <v>11</v>
      </c>
      <c r="B178" s="26">
        <v>6632</v>
      </c>
      <c r="C178" s="26" t="s">
        <v>331</v>
      </c>
      <c r="D178" s="1" t="s">
        <v>194</v>
      </c>
      <c r="E178" s="11">
        <f t="shared" si="9"/>
        <v>0</v>
      </c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1">
        <v>6062000</v>
      </c>
      <c r="S178" s="1" t="s">
        <v>314</v>
      </c>
      <c r="T178" s="1" t="s">
        <v>313</v>
      </c>
      <c r="U178" s="1" t="s">
        <v>313</v>
      </c>
      <c r="V178" s="1" t="s">
        <v>299</v>
      </c>
      <c r="W178" s="1">
        <v>0</v>
      </c>
      <c r="X178" s="14">
        <v>6062000</v>
      </c>
    </row>
    <row r="179" spans="1:24">
      <c r="A179" s="1" t="s">
        <v>11</v>
      </c>
      <c r="B179" s="26">
        <v>6642</v>
      </c>
      <c r="C179" s="26" t="s">
        <v>332</v>
      </c>
      <c r="D179" s="1" t="s">
        <v>194</v>
      </c>
      <c r="E179" s="11">
        <f t="shared" si="9"/>
        <v>0</v>
      </c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1">
        <v>6041001</v>
      </c>
      <c r="S179" s="1" t="s">
        <v>316</v>
      </c>
      <c r="T179" s="1" t="s">
        <v>193</v>
      </c>
      <c r="U179" s="1" t="s">
        <v>301</v>
      </c>
      <c r="V179" s="1" t="s">
        <v>301</v>
      </c>
      <c r="W179" s="1">
        <v>0</v>
      </c>
      <c r="X179" s="14">
        <v>6041001</v>
      </c>
    </row>
    <row r="180" spans="1:24">
      <c r="A180" s="1" t="s">
        <v>11</v>
      </c>
      <c r="B180" s="26">
        <v>6300</v>
      </c>
      <c r="C180" s="26" t="s">
        <v>333</v>
      </c>
      <c r="D180" s="1" t="s">
        <v>194</v>
      </c>
      <c r="E180" s="11">
        <f t="shared" si="9"/>
        <v>-6000</v>
      </c>
      <c r="F180" s="31">
        <v>-500</v>
      </c>
      <c r="G180" s="31">
        <v>-500</v>
      </c>
      <c r="H180" s="31">
        <v>-500</v>
      </c>
      <c r="I180" s="31">
        <v>-500</v>
      </c>
      <c r="J180" s="31">
        <v>-500</v>
      </c>
      <c r="K180" s="31">
        <v>-500</v>
      </c>
      <c r="L180" s="31">
        <v>-500</v>
      </c>
      <c r="M180" s="31">
        <v>-500</v>
      </c>
      <c r="N180" s="31">
        <v>-500</v>
      </c>
      <c r="O180" s="31">
        <v>-500</v>
      </c>
      <c r="P180" s="31">
        <v>-500</v>
      </c>
      <c r="Q180" s="31">
        <v>-500</v>
      </c>
      <c r="R180" s="1">
        <v>6101004</v>
      </c>
      <c r="S180" s="1" t="s">
        <v>334</v>
      </c>
      <c r="T180" s="1" t="s">
        <v>193</v>
      </c>
      <c r="U180" s="1" t="s">
        <v>321</v>
      </c>
      <c r="V180" s="1" t="s">
        <v>214</v>
      </c>
      <c r="W180" s="1">
        <v>0</v>
      </c>
      <c r="X180" s="14">
        <v>6101004</v>
      </c>
    </row>
    <row r="181" spans="1:24">
      <c r="A181" s="1" t="s">
        <v>11</v>
      </c>
      <c r="B181" s="26">
        <v>6811</v>
      </c>
      <c r="C181" s="26" t="s">
        <v>335</v>
      </c>
      <c r="D181" s="1" t="s">
        <v>186</v>
      </c>
      <c r="E181" s="11">
        <f t="shared" si="9"/>
        <v>-21600</v>
      </c>
      <c r="F181" s="31">
        <v>-1800</v>
      </c>
      <c r="G181" s="31">
        <v>-1800</v>
      </c>
      <c r="H181" s="31">
        <v>-1800</v>
      </c>
      <c r="I181" s="31">
        <v>-1800</v>
      </c>
      <c r="J181" s="31">
        <v>-1800</v>
      </c>
      <c r="K181" s="31">
        <v>-1800</v>
      </c>
      <c r="L181" s="31">
        <v>-1800</v>
      </c>
      <c r="M181" s="31">
        <v>-1800</v>
      </c>
      <c r="N181" s="31">
        <v>-1800</v>
      </c>
      <c r="O181" s="31">
        <v>-1800</v>
      </c>
      <c r="P181" s="31">
        <v>-1800</v>
      </c>
      <c r="Q181" s="31">
        <v>-1800</v>
      </c>
      <c r="R181" s="1">
        <v>6029008</v>
      </c>
      <c r="S181" s="1" t="s">
        <v>336</v>
      </c>
      <c r="T181" s="1" t="s">
        <v>188</v>
      </c>
      <c r="U181" s="1" t="s">
        <v>337</v>
      </c>
      <c r="V181" s="1" t="s">
        <v>253</v>
      </c>
      <c r="W181" s="1">
        <v>0</v>
      </c>
      <c r="X181" s="14">
        <v>6029008</v>
      </c>
    </row>
    <row r="182" spans="1:24">
      <c r="A182" s="1" t="s">
        <v>11</v>
      </c>
      <c r="B182" s="26">
        <v>6812</v>
      </c>
      <c r="C182" s="26" t="s">
        <v>338</v>
      </c>
      <c r="D182" s="1" t="s">
        <v>186</v>
      </c>
      <c r="E182" s="11">
        <f t="shared" si="9"/>
        <v>-480</v>
      </c>
      <c r="F182" s="31">
        <v>-40</v>
      </c>
      <c r="G182" s="31">
        <v>-40</v>
      </c>
      <c r="H182" s="31">
        <v>-40</v>
      </c>
      <c r="I182" s="31">
        <v>-40</v>
      </c>
      <c r="J182" s="31">
        <v>-40</v>
      </c>
      <c r="K182" s="31">
        <v>-40</v>
      </c>
      <c r="L182" s="31">
        <v>-40</v>
      </c>
      <c r="M182" s="31">
        <v>-40</v>
      </c>
      <c r="N182" s="31">
        <v>-40</v>
      </c>
      <c r="O182" s="31">
        <v>-40</v>
      </c>
      <c r="P182" s="31">
        <v>-40</v>
      </c>
      <c r="Q182" s="31">
        <v>-40</v>
      </c>
      <c r="R182" s="1">
        <v>6029008</v>
      </c>
      <c r="S182" s="1" t="s">
        <v>336</v>
      </c>
      <c r="T182" s="1" t="s">
        <v>188</v>
      </c>
      <c r="U182" s="1" t="s">
        <v>337</v>
      </c>
      <c r="V182" s="1" t="s">
        <v>253</v>
      </c>
      <c r="W182" s="1">
        <v>0</v>
      </c>
      <c r="X182" s="14">
        <v>6029008</v>
      </c>
    </row>
    <row r="183" spans="1:24">
      <c r="A183" s="1" t="s">
        <v>11</v>
      </c>
      <c r="B183" s="26">
        <v>6820</v>
      </c>
      <c r="C183" s="26" t="s">
        <v>339</v>
      </c>
      <c r="D183" s="1" t="s">
        <v>186</v>
      </c>
      <c r="E183" s="11">
        <f t="shared" si="9"/>
        <v>-37600</v>
      </c>
      <c r="F183" s="31">
        <v>-5000</v>
      </c>
      <c r="G183" s="31"/>
      <c r="H183" s="31">
        <v>-5000</v>
      </c>
      <c r="I183" s="31"/>
      <c r="J183" s="31"/>
      <c r="K183" s="31">
        <v>-12600</v>
      </c>
      <c r="L183" s="31"/>
      <c r="M183" s="31"/>
      <c r="N183" s="31">
        <v>-5000</v>
      </c>
      <c r="O183" s="31"/>
      <c r="P183" s="31"/>
      <c r="Q183" s="31">
        <v>-10000</v>
      </c>
      <c r="R183" s="1">
        <v>6029013</v>
      </c>
      <c r="S183" s="1" t="s">
        <v>340</v>
      </c>
      <c r="T183" s="1" t="s">
        <v>188</v>
      </c>
      <c r="U183" s="1" t="s">
        <v>337</v>
      </c>
      <c r="V183" s="1" t="s">
        <v>253</v>
      </c>
      <c r="W183" s="1">
        <v>0</v>
      </c>
      <c r="X183" s="14">
        <v>6029013</v>
      </c>
    </row>
    <row r="184" spans="1:24" ht="13.5" customHeight="1">
      <c r="A184" s="1" t="s">
        <v>11</v>
      </c>
      <c r="B184" s="26">
        <v>6830</v>
      </c>
      <c r="C184" s="26" t="s">
        <v>341</v>
      </c>
      <c r="D184" s="1" t="s">
        <v>186</v>
      </c>
      <c r="E184" s="11">
        <f t="shared" si="9"/>
        <v>-4000</v>
      </c>
      <c r="F184" s="31"/>
      <c r="G184" s="31"/>
      <c r="H184" s="31">
        <v>-1000</v>
      </c>
      <c r="I184" s="31"/>
      <c r="J184" s="31"/>
      <c r="K184" s="31">
        <v>-1000</v>
      </c>
      <c r="L184" s="31"/>
      <c r="M184" s="31"/>
      <c r="N184" s="31">
        <v>-1000</v>
      </c>
      <c r="O184" s="31"/>
      <c r="P184" s="31"/>
      <c r="Q184" s="31">
        <v>-1000</v>
      </c>
      <c r="R184" s="1">
        <v>6029007</v>
      </c>
      <c r="S184" s="1" t="s">
        <v>342</v>
      </c>
      <c r="T184" s="1" t="s">
        <v>188</v>
      </c>
      <c r="U184" s="1" t="s">
        <v>337</v>
      </c>
      <c r="V184" s="1" t="s">
        <v>253</v>
      </c>
      <c r="W184" s="1">
        <v>0</v>
      </c>
      <c r="X184" s="14">
        <v>6029007</v>
      </c>
    </row>
    <row r="185" spans="1:24">
      <c r="A185" s="1" t="s">
        <v>11</v>
      </c>
      <c r="B185" s="26">
        <v>6832</v>
      </c>
      <c r="C185" s="26" t="s">
        <v>343</v>
      </c>
      <c r="D185" s="1" t="s">
        <v>186</v>
      </c>
      <c r="E185" s="11">
        <f t="shared" si="9"/>
        <v>-16350</v>
      </c>
      <c r="F185" s="31">
        <v>-5350</v>
      </c>
      <c r="G185" s="31">
        <v>-1000</v>
      </c>
      <c r="H185" s="31">
        <v>-1000</v>
      </c>
      <c r="I185" s="31">
        <v>-1000</v>
      </c>
      <c r="J185" s="31">
        <v>-1000</v>
      </c>
      <c r="K185" s="31">
        <v>-1000</v>
      </c>
      <c r="L185" s="31">
        <v>-1000</v>
      </c>
      <c r="M185" s="31">
        <v>-1000</v>
      </c>
      <c r="N185" s="31">
        <v>-1000</v>
      </c>
      <c r="O185" s="31">
        <v>-1000</v>
      </c>
      <c r="P185" s="31">
        <v>-1000</v>
      </c>
      <c r="Q185" s="31">
        <v>-1000</v>
      </c>
      <c r="R185" s="1">
        <v>6054003</v>
      </c>
      <c r="S185" s="1" t="s">
        <v>344</v>
      </c>
      <c r="T185" s="32" t="s">
        <v>188</v>
      </c>
      <c r="U185" s="1" t="s">
        <v>209</v>
      </c>
      <c r="V185" s="1" t="s">
        <v>253</v>
      </c>
      <c r="W185" s="1">
        <v>0</v>
      </c>
      <c r="X185" s="14">
        <v>6054003</v>
      </c>
    </row>
    <row r="186" spans="1:24">
      <c r="A186" s="1" t="s">
        <v>11</v>
      </c>
      <c r="B186" s="26">
        <v>6833</v>
      </c>
      <c r="C186" s="26" t="s">
        <v>345</v>
      </c>
      <c r="D186" s="1" t="s">
        <v>186</v>
      </c>
      <c r="E186" s="11">
        <f t="shared" si="9"/>
        <v>-108000</v>
      </c>
      <c r="F186" s="31">
        <v>-9000</v>
      </c>
      <c r="G186" s="31">
        <v>-9000</v>
      </c>
      <c r="H186" s="31">
        <v>-9000</v>
      </c>
      <c r="I186" s="31">
        <v>-9000</v>
      </c>
      <c r="J186" s="31">
        <v>-9000</v>
      </c>
      <c r="K186" s="31">
        <v>-9000</v>
      </c>
      <c r="L186" s="31">
        <v>-9000</v>
      </c>
      <c r="M186" s="31">
        <v>-9000</v>
      </c>
      <c r="N186" s="31">
        <v>-9000</v>
      </c>
      <c r="O186" s="31">
        <v>-9000</v>
      </c>
      <c r="P186" s="31">
        <v>-9000</v>
      </c>
      <c r="Q186" s="31">
        <v>-9000</v>
      </c>
      <c r="R186" s="1">
        <v>6025003</v>
      </c>
      <c r="S186" s="1" t="s">
        <v>346</v>
      </c>
      <c r="T186" s="1" t="s">
        <v>188</v>
      </c>
      <c r="U186" s="1" t="s">
        <v>347</v>
      </c>
      <c r="V186" s="1" t="s">
        <v>348</v>
      </c>
      <c r="W186" s="1">
        <v>0</v>
      </c>
      <c r="X186" s="14">
        <v>6025003</v>
      </c>
    </row>
    <row r="187" spans="1:24">
      <c r="A187" s="1" t="s">
        <v>11</v>
      </c>
      <c r="B187" s="26">
        <v>6385</v>
      </c>
      <c r="C187" s="26" t="s">
        <v>349</v>
      </c>
      <c r="D187" s="30" t="s">
        <v>186</v>
      </c>
      <c r="E187" s="11">
        <f t="shared" si="9"/>
        <v>-4000</v>
      </c>
      <c r="F187" s="31"/>
      <c r="G187" s="31"/>
      <c r="H187" s="31"/>
      <c r="I187" s="31"/>
      <c r="J187" s="31">
        <v>-2000</v>
      </c>
      <c r="K187" s="31"/>
      <c r="L187" s="31"/>
      <c r="M187" s="31"/>
      <c r="N187" s="31">
        <v>-2000</v>
      </c>
      <c r="O187" s="31"/>
      <c r="P187" s="31"/>
      <c r="Q187" s="31"/>
      <c r="R187" s="1">
        <v>6108000</v>
      </c>
      <c r="S187" s="1" t="s">
        <v>239</v>
      </c>
      <c r="T187" s="32" t="s">
        <v>188</v>
      </c>
      <c r="U187" s="1" t="s">
        <v>239</v>
      </c>
      <c r="V187" s="1" t="s">
        <v>253</v>
      </c>
      <c r="W187" s="1">
        <v>0</v>
      </c>
      <c r="X187" s="14">
        <v>6108000</v>
      </c>
    </row>
    <row r="188" spans="1:24">
      <c r="A188" s="1" t="s">
        <v>11</v>
      </c>
      <c r="B188" s="26">
        <v>6840</v>
      </c>
      <c r="C188" s="26" t="s">
        <v>350</v>
      </c>
      <c r="D188" s="1" t="s">
        <v>186</v>
      </c>
      <c r="E188" s="11">
        <f t="shared" si="9"/>
        <v>-14600</v>
      </c>
      <c r="F188" s="31">
        <v>-500</v>
      </c>
      <c r="G188" s="31"/>
      <c r="H188" s="31">
        <v>-500</v>
      </c>
      <c r="I188" s="31"/>
      <c r="J188" s="31"/>
      <c r="K188" s="31">
        <v>-12600</v>
      </c>
      <c r="L188" s="31"/>
      <c r="M188" s="31"/>
      <c r="N188" s="31">
        <v>-500</v>
      </c>
      <c r="O188" s="31"/>
      <c r="P188" s="31"/>
      <c r="Q188" s="31">
        <v>-500</v>
      </c>
      <c r="R188" s="1">
        <v>6029001</v>
      </c>
      <c r="S188" s="1" t="s">
        <v>351</v>
      </c>
      <c r="T188" s="1" t="s">
        <v>188</v>
      </c>
      <c r="U188" s="1" t="s">
        <v>337</v>
      </c>
      <c r="V188" s="1" t="s">
        <v>253</v>
      </c>
      <c r="W188" s="1">
        <v>0</v>
      </c>
      <c r="X188" s="14">
        <v>6029001</v>
      </c>
    </row>
    <row r="189" spans="1:24">
      <c r="A189" s="1" t="s">
        <v>11</v>
      </c>
      <c r="B189" s="26">
        <v>6850</v>
      </c>
      <c r="C189" s="26" t="s">
        <v>352</v>
      </c>
      <c r="D189" s="1" t="s">
        <v>186</v>
      </c>
      <c r="E189" s="11">
        <f t="shared" si="9"/>
        <v>-1920</v>
      </c>
      <c r="F189" s="31">
        <v>-160</v>
      </c>
      <c r="G189" s="31">
        <v>-160</v>
      </c>
      <c r="H189" s="31">
        <v>-160</v>
      </c>
      <c r="I189" s="31">
        <v>-160</v>
      </c>
      <c r="J189" s="31">
        <v>-160</v>
      </c>
      <c r="K189" s="31">
        <v>-160</v>
      </c>
      <c r="L189" s="31">
        <v>-160</v>
      </c>
      <c r="M189" s="31">
        <v>-160</v>
      </c>
      <c r="N189" s="31">
        <v>-160</v>
      </c>
      <c r="O189" s="31">
        <v>-160</v>
      </c>
      <c r="P189" s="31">
        <v>-160</v>
      </c>
      <c r="Q189" s="31">
        <v>-160</v>
      </c>
      <c r="R189" s="1">
        <v>6029006</v>
      </c>
      <c r="S189" s="1" t="s">
        <v>353</v>
      </c>
      <c r="T189" s="1" t="s">
        <v>188</v>
      </c>
      <c r="U189" s="1" t="s">
        <v>337</v>
      </c>
      <c r="V189" s="1" t="s">
        <v>253</v>
      </c>
      <c r="W189" s="1">
        <v>0</v>
      </c>
      <c r="X189" s="14">
        <v>6029006</v>
      </c>
    </row>
    <row r="190" spans="1:24">
      <c r="A190" s="1" t="s">
        <v>11</v>
      </c>
      <c r="B190" s="26">
        <v>6870</v>
      </c>
      <c r="C190" s="26" t="s">
        <v>354</v>
      </c>
      <c r="D190" s="1" t="s">
        <v>186</v>
      </c>
      <c r="E190" s="11">
        <f t="shared" si="9"/>
        <v>-96000</v>
      </c>
      <c r="F190" s="31">
        <v>-8000</v>
      </c>
      <c r="G190" s="31">
        <v>-8000</v>
      </c>
      <c r="H190" s="31">
        <v>-8000</v>
      </c>
      <c r="I190" s="31">
        <v>-8000</v>
      </c>
      <c r="J190" s="31">
        <v>-8000</v>
      </c>
      <c r="K190" s="31">
        <v>-8000</v>
      </c>
      <c r="L190" s="31">
        <v>-8000</v>
      </c>
      <c r="M190" s="31">
        <v>-8000</v>
      </c>
      <c r="N190" s="31">
        <v>-8000</v>
      </c>
      <c r="O190" s="31">
        <v>-8000</v>
      </c>
      <c r="P190" s="31">
        <v>-8000</v>
      </c>
      <c r="Q190" s="31">
        <v>-8000</v>
      </c>
      <c r="R190" s="1">
        <v>6029010</v>
      </c>
      <c r="S190" s="1" t="s">
        <v>355</v>
      </c>
      <c r="T190" s="1" t="s">
        <v>188</v>
      </c>
      <c r="U190" s="1" t="s">
        <v>337</v>
      </c>
      <c r="V190" s="1" t="s">
        <v>253</v>
      </c>
      <c r="W190" s="1">
        <v>0</v>
      </c>
      <c r="X190" s="14">
        <v>6029010</v>
      </c>
    </row>
    <row r="191" spans="1:24">
      <c r="A191" s="1" t="s">
        <v>11</v>
      </c>
      <c r="B191" s="26">
        <v>6877</v>
      </c>
      <c r="C191" s="26" t="s">
        <v>356</v>
      </c>
      <c r="D191" s="1" t="s">
        <v>186</v>
      </c>
      <c r="E191" s="11">
        <f t="shared" si="9"/>
        <v>0</v>
      </c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1">
        <v>6021005</v>
      </c>
      <c r="S191" s="1" t="s">
        <v>357</v>
      </c>
      <c r="T191" s="1" t="s">
        <v>188</v>
      </c>
      <c r="U191" s="1" t="s">
        <v>189</v>
      </c>
      <c r="V191" s="1" t="s">
        <v>348</v>
      </c>
      <c r="W191" s="1">
        <v>0</v>
      </c>
      <c r="X191" s="14">
        <v>6021005</v>
      </c>
    </row>
    <row r="192" spans="1:24">
      <c r="A192" s="1" t="s">
        <v>11</v>
      </c>
      <c r="B192" s="26">
        <v>6713</v>
      </c>
      <c r="C192" s="26" t="s">
        <v>358</v>
      </c>
      <c r="D192" s="1" t="s">
        <v>186</v>
      </c>
      <c r="E192" s="11">
        <f t="shared" si="9"/>
        <v>-710044.49316666659</v>
      </c>
      <c r="F192" s="31">
        <v>-58668.343333333331</v>
      </c>
      <c r="G192" s="31">
        <v>-59011.360000000001</v>
      </c>
      <c r="H192" s="31">
        <v>-58668.343333333331</v>
      </c>
      <c r="I192" s="31">
        <v>-59011.360000000001</v>
      </c>
      <c r="J192" s="31">
        <v>-58668.343333333331</v>
      </c>
      <c r="K192" s="31">
        <v>-59011.360000000001</v>
      </c>
      <c r="L192" s="31">
        <v>-58668.343333333331</v>
      </c>
      <c r="M192" s="31">
        <v>-59804.614633333338</v>
      </c>
      <c r="N192" s="31">
        <v>-59461.597966666668</v>
      </c>
      <c r="O192" s="31">
        <v>-59804.614633333338</v>
      </c>
      <c r="P192" s="31">
        <v>-59461.597966666668</v>
      </c>
      <c r="Q192" s="31">
        <v>-59804.614633333338</v>
      </c>
      <c r="R192" s="1">
        <v>6021001</v>
      </c>
      <c r="S192" s="1" t="s">
        <v>187</v>
      </c>
      <c r="T192" s="1" t="s">
        <v>188</v>
      </c>
      <c r="U192" s="1" t="s">
        <v>189</v>
      </c>
      <c r="V192" s="1" t="s">
        <v>348</v>
      </c>
      <c r="W192" s="1">
        <v>0</v>
      </c>
      <c r="X192" s="14">
        <v>6021001</v>
      </c>
    </row>
    <row r="193" spans="1:24">
      <c r="A193" s="1" t="s">
        <v>11</v>
      </c>
      <c r="B193" s="26">
        <v>6714</v>
      </c>
      <c r="C193" s="26" t="s">
        <v>359</v>
      </c>
      <c r="D193" s="1" t="s">
        <v>186</v>
      </c>
      <c r="E193" s="11">
        <f t="shared" si="9"/>
        <v>0</v>
      </c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1">
        <v>6024001</v>
      </c>
      <c r="S193" s="1" t="s">
        <v>361</v>
      </c>
      <c r="T193" s="1" t="s">
        <v>188</v>
      </c>
      <c r="U193" s="1" t="s">
        <v>362</v>
      </c>
      <c r="V193" s="1" t="s">
        <v>348</v>
      </c>
      <c r="W193" s="1">
        <v>0</v>
      </c>
      <c r="X193" s="14">
        <v>6024001</v>
      </c>
    </row>
    <row r="194" spans="1:24">
      <c r="A194" s="1" t="s">
        <v>11</v>
      </c>
      <c r="B194" s="26">
        <v>6715</v>
      </c>
      <c r="C194" s="26" t="s">
        <v>363</v>
      </c>
      <c r="D194" s="1" t="s">
        <v>186</v>
      </c>
      <c r="E194" s="11">
        <f t="shared" si="9"/>
        <v>0</v>
      </c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1">
        <v>6024002</v>
      </c>
      <c r="S194" s="1" t="s">
        <v>365</v>
      </c>
      <c r="T194" s="1" t="s">
        <v>188</v>
      </c>
      <c r="U194" s="1" t="s">
        <v>362</v>
      </c>
      <c r="V194" s="1" t="s">
        <v>348</v>
      </c>
      <c r="W194" s="1">
        <v>0</v>
      </c>
      <c r="X194" s="14">
        <v>6024002</v>
      </c>
    </row>
    <row r="195" spans="1:24">
      <c r="A195" s="1" t="s">
        <v>11</v>
      </c>
      <c r="B195" s="26">
        <v>6716</v>
      </c>
      <c r="C195" s="26" t="s">
        <v>366</v>
      </c>
      <c r="D195" s="1" t="s">
        <v>186</v>
      </c>
      <c r="E195" s="11">
        <f t="shared" si="9"/>
        <v>-85205.339179999995</v>
      </c>
      <c r="F195" s="31">
        <v>-7040.2011999999995</v>
      </c>
      <c r="G195" s="31">
        <v>-7081.3631999999989</v>
      </c>
      <c r="H195" s="31">
        <v>-7040.2011999999995</v>
      </c>
      <c r="I195" s="31">
        <v>-7081.3631999999989</v>
      </c>
      <c r="J195" s="31">
        <v>-7040.2011999999995</v>
      </c>
      <c r="K195" s="31">
        <v>-7081.3631999999989</v>
      </c>
      <c r="L195" s="31">
        <v>-7040.2011999999995</v>
      </c>
      <c r="M195" s="31">
        <v>-7176.5537559999993</v>
      </c>
      <c r="N195" s="31">
        <v>-7135.391756</v>
      </c>
      <c r="O195" s="31">
        <v>-7176.5537559999993</v>
      </c>
      <c r="P195" s="31">
        <v>-7135.391756</v>
      </c>
      <c r="Q195" s="31">
        <v>-7176.5537559999993</v>
      </c>
      <c r="R195" s="1">
        <v>6021001</v>
      </c>
      <c r="S195" s="1" t="s">
        <v>187</v>
      </c>
      <c r="T195" s="1" t="s">
        <v>188</v>
      </c>
      <c r="U195" s="1" t="s">
        <v>189</v>
      </c>
      <c r="V195" s="1" t="s">
        <v>367</v>
      </c>
      <c r="W195" s="1">
        <v>0</v>
      </c>
      <c r="X195" s="14">
        <v>6021001</v>
      </c>
    </row>
    <row r="196" spans="1:24">
      <c r="A196" s="1" t="s">
        <v>11</v>
      </c>
      <c r="B196" s="26">
        <v>6717</v>
      </c>
      <c r="C196" s="26" t="s">
        <v>368</v>
      </c>
      <c r="D196" s="1" t="s">
        <v>186</v>
      </c>
      <c r="E196" s="11">
        <f t="shared" si="9"/>
        <v>0</v>
      </c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1">
        <v>6021001</v>
      </c>
      <c r="S196" s="1" t="s">
        <v>187</v>
      </c>
      <c r="T196" s="1" t="s">
        <v>188</v>
      </c>
      <c r="U196" s="1" t="s">
        <v>189</v>
      </c>
      <c r="V196" s="1" t="s">
        <v>348</v>
      </c>
      <c r="W196" s="1">
        <v>0</v>
      </c>
      <c r="X196" s="14">
        <v>6021001</v>
      </c>
    </row>
    <row r="197" spans="1:24">
      <c r="A197" s="1" t="s">
        <v>11</v>
      </c>
      <c r="B197" s="26">
        <v>6719</v>
      </c>
      <c r="C197" s="26" t="s">
        <v>369</v>
      </c>
      <c r="D197" s="1" t="s">
        <v>186</v>
      </c>
      <c r="E197" s="11">
        <f t="shared" si="9"/>
        <v>0</v>
      </c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1">
        <v>6021001</v>
      </c>
      <c r="S197" s="1" t="s">
        <v>187</v>
      </c>
      <c r="T197" s="1" t="s">
        <v>188</v>
      </c>
      <c r="U197" s="1" t="s">
        <v>189</v>
      </c>
      <c r="V197" s="1" t="s">
        <v>348</v>
      </c>
      <c r="W197" s="1">
        <v>0</v>
      </c>
      <c r="X197" s="14">
        <v>6021001</v>
      </c>
    </row>
    <row r="198" spans="1:24">
      <c r="A198" s="1" t="s">
        <v>11</v>
      </c>
      <c r="B198" s="26">
        <v>6723</v>
      </c>
      <c r="C198" s="26" t="s">
        <v>370</v>
      </c>
      <c r="D198" s="1" t="s">
        <v>186</v>
      </c>
      <c r="E198" s="11">
        <f t="shared" si="9"/>
        <v>-245099.99998500003</v>
      </c>
      <c r="F198" s="31">
        <v>-20322.891433750003</v>
      </c>
      <c r="G198" s="31">
        <v>-20322.891433750003</v>
      </c>
      <c r="H198" s="31">
        <v>-20322.891433750003</v>
      </c>
      <c r="I198" s="31">
        <v>-20322.891433750003</v>
      </c>
      <c r="J198" s="31">
        <v>-20322.891433750003</v>
      </c>
      <c r="K198" s="31">
        <v>-20322.891433750003</v>
      </c>
      <c r="L198" s="31">
        <v>-20322.891433750003</v>
      </c>
      <c r="M198" s="31">
        <v>-20567.951989749999</v>
      </c>
      <c r="N198" s="31">
        <v>-20567.951989749999</v>
      </c>
      <c r="O198" s="31">
        <v>-20567.951989749999</v>
      </c>
      <c r="P198" s="31">
        <v>-20567.951989749999</v>
      </c>
      <c r="Q198" s="31">
        <v>-20567.951989749999</v>
      </c>
      <c r="R198" s="1">
        <v>6021001</v>
      </c>
      <c r="S198" s="1" t="s">
        <v>187</v>
      </c>
      <c r="T198" s="1" t="s">
        <v>188</v>
      </c>
      <c r="U198" s="1" t="s">
        <v>189</v>
      </c>
      <c r="V198" s="1" t="s">
        <v>348</v>
      </c>
      <c r="W198" s="1">
        <v>0</v>
      </c>
      <c r="X198" s="14">
        <v>6021001</v>
      </c>
    </row>
    <row r="199" spans="1:24">
      <c r="A199" s="1" t="s">
        <v>11</v>
      </c>
      <c r="B199" s="26">
        <v>6724</v>
      </c>
      <c r="C199" s="26" t="s">
        <v>371</v>
      </c>
      <c r="D199" s="1" t="s">
        <v>186</v>
      </c>
      <c r="E199" s="11">
        <f t="shared" si="9"/>
        <v>0</v>
      </c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1">
        <v>6024001</v>
      </c>
      <c r="S199" s="1" t="s">
        <v>361</v>
      </c>
      <c r="T199" s="1" t="s">
        <v>188</v>
      </c>
      <c r="U199" s="1" t="s">
        <v>362</v>
      </c>
      <c r="V199" s="1" t="s">
        <v>348</v>
      </c>
      <c r="W199" s="1">
        <v>0</v>
      </c>
      <c r="X199" s="14">
        <v>6024001</v>
      </c>
    </row>
    <row r="200" spans="1:24">
      <c r="A200" s="1" t="s">
        <v>11</v>
      </c>
      <c r="B200" s="26">
        <v>6725</v>
      </c>
      <c r="C200" s="26" t="s">
        <v>372</v>
      </c>
      <c r="D200" s="1" t="s">
        <v>186</v>
      </c>
      <c r="E200" s="11">
        <f t="shared" si="9"/>
        <v>0</v>
      </c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1">
        <v>6024002</v>
      </c>
      <c r="S200" s="1" t="s">
        <v>365</v>
      </c>
      <c r="T200" s="1" t="s">
        <v>188</v>
      </c>
      <c r="U200" s="1" t="s">
        <v>362</v>
      </c>
      <c r="V200" s="1" t="s">
        <v>348</v>
      </c>
      <c r="W200" s="1">
        <v>0</v>
      </c>
      <c r="X200" s="14">
        <v>6024002</v>
      </c>
    </row>
    <row r="201" spans="1:24">
      <c r="A201" s="1" t="s">
        <v>11</v>
      </c>
      <c r="B201" s="26">
        <v>6726</v>
      </c>
      <c r="C201" s="26" t="s">
        <v>373</v>
      </c>
      <c r="D201" s="1" t="s">
        <v>186</v>
      </c>
      <c r="E201" s="11">
        <f t="shared" si="9"/>
        <v>-76519.795416903173</v>
      </c>
      <c r="F201" s="31">
        <v>-6364.3965902752652</v>
      </c>
      <c r="G201" s="31">
        <v>-6364.3965902752652</v>
      </c>
      <c r="H201" s="31">
        <v>-6364.3965902752652</v>
      </c>
      <c r="I201" s="31">
        <v>-6364.3965902752652</v>
      </c>
      <c r="J201" s="31">
        <v>-6364.3965902752652</v>
      </c>
      <c r="K201" s="31">
        <v>-6364.3965902752652</v>
      </c>
      <c r="L201" s="31">
        <v>-6364.3965902752652</v>
      </c>
      <c r="M201" s="31">
        <v>-6393.803856995266</v>
      </c>
      <c r="N201" s="31">
        <v>-6393.803856995266</v>
      </c>
      <c r="O201" s="31">
        <v>-6393.803856995266</v>
      </c>
      <c r="P201" s="31">
        <v>-6393.803856995266</v>
      </c>
      <c r="Q201" s="31">
        <v>-6393.803856995266</v>
      </c>
      <c r="R201" s="1">
        <v>6021001</v>
      </c>
      <c r="S201" s="1" t="s">
        <v>187</v>
      </c>
      <c r="T201" s="1" t="s">
        <v>188</v>
      </c>
      <c r="U201" s="1" t="s">
        <v>189</v>
      </c>
      <c r="V201" s="1" t="s">
        <v>367</v>
      </c>
      <c r="W201" s="1">
        <v>0</v>
      </c>
      <c r="X201" s="14">
        <v>6021001</v>
      </c>
    </row>
    <row r="202" spans="1:24">
      <c r="A202" s="1" t="s">
        <v>11</v>
      </c>
      <c r="B202" s="26">
        <v>6727</v>
      </c>
      <c r="C202" s="26" t="s">
        <v>374</v>
      </c>
      <c r="D202" s="1" t="s">
        <v>186</v>
      </c>
      <c r="E202" s="11">
        <f t="shared" si="9"/>
        <v>-216375.93891200246</v>
      </c>
      <c r="F202" s="31">
        <v>-18031.32824266687</v>
      </c>
      <c r="G202" s="31">
        <v>-18031.32824266687</v>
      </c>
      <c r="H202" s="31">
        <v>-18031.32824266687</v>
      </c>
      <c r="I202" s="31">
        <v>-18031.32824266687</v>
      </c>
      <c r="J202" s="31">
        <v>-18031.32824266687</v>
      </c>
      <c r="K202" s="31">
        <v>-18031.32824266687</v>
      </c>
      <c r="L202" s="31">
        <v>-18031.32824266687</v>
      </c>
      <c r="M202" s="31">
        <v>-18031.32824266687</v>
      </c>
      <c r="N202" s="31">
        <v>-18031.32824266687</v>
      </c>
      <c r="O202" s="31">
        <v>-18031.32824266687</v>
      </c>
      <c r="P202" s="31">
        <v>-18031.32824266687</v>
      </c>
      <c r="Q202" s="31">
        <v>-18031.32824266687</v>
      </c>
      <c r="R202" s="1">
        <v>6021003</v>
      </c>
      <c r="S202" s="1" t="s">
        <v>375</v>
      </c>
      <c r="T202" s="1" t="s">
        <v>188</v>
      </c>
      <c r="U202" s="1" t="s">
        <v>189</v>
      </c>
      <c r="V202" s="1" t="s">
        <v>348</v>
      </c>
      <c r="W202" s="1">
        <v>0</v>
      </c>
      <c r="X202" s="14">
        <v>6021003</v>
      </c>
    </row>
    <row r="203" spans="1:24">
      <c r="A203" s="1" t="s">
        <v>11</v>
      </c>
      <c r="B203" s="26">
        <v>6733</v>
      </c>
      <c r="C203" s="26" t="s">
        <v>376</v>
      </c>
      <c r="D203" s="1" t="s">
        <v>186</v>
      </c>
      <c r="E203" s="11">
        <f t="shared" si="9"/>
        <v>-212575.00000000003</v>
      </c>
      <c r="F203" s="31">
        <v>-17583.333333333332</v>
      </c>
      <c r="G203" s="31">
        <v>-17583.333333333332</v>
      </c>
      <c r="H203" s="31">
        <v>-17583.333333333332</v>
      </c>
      <c r="I203" s="31">
        <v>-17583.333333333332</v>
      </c>
      <c r="J203" s="31">
        <v>-17583.333333333332</v>
      </c>
      <c r="K203" s="31">
        <v>-17583.333333333332</v>
      </c>
      <c r="L203" s="31">
        <v>-17583.333333333332</v>
      </c>
      <c r="M203" s="31">
        <v>-17898.333333333332</v>
      </c>
      <c r="N203" s="31">
        <v>-17898.333333333332</v>
      </c>
      <c r="O203" s="31">
        <v>-17898.333333333332</v>
      </c>
      <c r="P203" s="31">
        <v>-17898.333333333332</v>
      </c>
      <c r="Q203" s="31">
        <v>-17898.333333333332</v>
      </c>
      <c r="R203" s="1">
        <v>6021001</v>
      </c>
      <c r="S203" s="1" t="s">
        <v>187</v>
      </c>
      <c r="T203" s="1" t="s">
        <v>188</v>
      </c>
      <c r="U203" s="1" t="s">
        <v>189</v>
      </c>
      <c r="V203" s="1" t="s">
        <v>348</v>
      </c>
      <c r="W203" s="1">
        <v>0</v>
      </c>
      <c r="X203" s="14">
        <v>6021001</v>
      </c>
    </row>
    <row r="204" spans="1:24">
      <c r="A204" s="1" t="s">
        <v>11</v>
      </c>
      <c r="B204" s="26">
        <v>6734</v>
      </c>
      <c r="C204" s="26" t="s">
        <v>377</v>
      </c>
      <c r="D204" s="1" t="s">
        <v>186</v>
      </c>
      <c r="E204" s="11">
        <f t="shared" si="9"/>
        <v>0</v>
      </c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1">
        <v>6024001</v>
      </c>
      <c r="S204" s="1" t="s">
        <v>361</v>
      </c>
      <c r="T204" s="1" t="s">
        <v>188</v>
      </c>
      <c r="U204" s="1" t="s">
        <v>362</v>
      </c>
      <c r="V204" s="1" t="s">
        <v>348</v>
      </c>
      <c r="W204" s="1">
        <v>0</v>
      </c>
      <c r="X204" s="14">
        <v>6024001</v>
      </c>
    </row>
    <row r="205" spans="1:24">
      <c r="A205" s="1" t="s">
        <v>11</v>
      </c>
      <c r="B205" s="26">
        <v>6735</v>
      </c>
      <c r="C205" s="26" t="s">
        <v>378</v>
      </c>
      <c r="D205" s="1" t="s">
        <v>186</v>
      </c>
      <c r="E205" s="11">
        <f t="shared" si="9"/>
        <v>0</v>
      </c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1">
        <v>6024002</v>
      </c>
      <c r="S205" s="1" t="s">
        <v>365</v>
      </c>
      <c r="T205" s="1" t="s">
        <v>188</v>
      </c>
      <c r="U205" s="1" t="s">
        <v>362</v>
      </c>
      <c r="V205" s="1" t="s">
        <v>348</v>
      </c>
      <c r="W205" s="1">
        <v>0</v>
      </c>
      <c r="X205" s="14">
        <v>6024002</v>
      </c>
    </row>
    <row r="206" spans="1:24">
      <c r="A206" s="1" t="s">
        <v>11</v>
      </c>
      <c r="B206" s="26">
        <v>6736</v>
      </c>
      <c r="C206" s="26" t="s">
        <v>379</v>
      </c>
      <c r="D206" s="1" t="s">
        <v>186</v>
      </c>
      <c r="E206" s="11">
        <f t="shared" si="9"/>
        <v>-25508.999999999996</v>
      </c>
      <c r="F206" s="31">
        <v>-2110</v>
      </c>
      <c r="G206" s="31">
        <v>-2110</v>
      </c>
      <c r="H206" s="31">
        <v>-2110</v>
      </c>
      <c r="I206" s="31">
        <v>-2110</v>
      </c>
      <c r="J206" s="31">
        <v>-2110</v>
      </c>
      <c r="K206" s="31">
        <v>-2110</v>
      </c>
      <c r="L206" s="31">
        <v>-2110</v>
      </c>
      <c r="M206" s="31">
        <v>-2147.7999999999997</v>
      </c>
      <c r="N206" s="31">
        <v>-2147.7999999999997</v>
      </c>
      <c r="O206" s="31">
        <v>-2147.7999999999997</v>
      </c>
      <c r="P206" s="31">
        <v>-2147.7999999999997</v>
      </c>
      <c r="Q206" s="31">
        <v>-2147.7999999999997</v>
      </c>
      <c r="R206" s="1">
        <v>6021001</v>
      </c>
      <c r="S206" s="1" t="s">
        <v>187</v>
      </c>
      <c r="T206" s="1" t="s">
        <v>188</v>
      </c>
      <c r="U206" s="1" t="s">
        <v>189</v>
      </c>
      <c r="V206" s="1" t="s">
        <v>367</v>
      </c>
      <c r="W206" s="1">
        <v>0</v>
      </c>
      <c r="X206" s="14">
        <v>6021001</v>
      </c>
    </row>
    <row r="207" spans="1:24">
      <c r="A207" s="1" t="s">
        <v>11</v>
      </c>
      <c r="B207" s="26">
        <v>6737</v>
      </c>
      <c r="C207" s="26" t="s">
        <v>380</v>
      </c>
      <c r="D207" s="1" t="s">
        <v>186</v>
      </c>
      <c r="E207" s="11">
        <f t="shared" si="9"/>
        <v>0</v>
      </c>
      <c r="F207" s="31"/>
      <c r="G207" s="31">
        <v>0</v>
      </c>
      <c r="H207" s="31">
        <v>0</v>
      </c>
      <c r="I207" s="31">
        <v>0</v>
      </c>
      <c r="J207" s="31">
        <v>0</v>
      </c>
      <c r="K207" s="31">
        <v>0</v>
      </c>
      <c r="L207" s="31"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1">
        <v>6021003</v>
      </c>
      <c r="S207" s="1" t="s">
        <v>375</v>
      </c>
      <c r="T207" s="1" t="s">
        <v>188</v>
      </c>
      <c r="U207" s="1" t="s">
        <v>189</v>
      </c>
      <c r="V207" s="1" t="s">
        <v>348</v>
      </c>
      <c r="W207" s="1">
        <v>0</v>
      </c>
      <c r="X207" s="14">
        <v>6021003</v>
      </c>
    </row>
    <row r="208" spans="1:24" s="30" customFormat="1">
      <c r="A208" s="1" t="s">
        <v>11</v>
      </c>
      <c r="B208" s="26">
        <v>6743</v>
      </c>
      <c r="C208" s="26" t="s">
        <v>381</v>
      </c>
      <c r="D208" s="30" t="s">
        <v>186</v>
      </c>
      <c r="E208" s="11">
        <f t="shared" si="9"/>
        <v>-209639.46000000005</v>
      </c>
      <c r="F208" s="31">
        <v>-18293.273333333334</v>
      </c>
      <c r="G208" s="31">
        <v>-18293.273333333334</v>
      </c>
      <c r="H208" s="31">
        <v>-18293.273333333334</v>
      </c>
      <c r="I208" s="31">
        <v>-18293.273333333334</v>
      </c>
      <c r="J208" s="31">
        <v>-18293.273333333334</v>
      </c>
      <c r="K208" s="31">
        <v>-18293.273333333334</v>
      </c>
      <c r="L208" s="31">
        <v>-18293.273333333334</v>
      </c>
      <c r="M208" s="31">
        <v>-18543.273333333334</v>
      </c>
      <c r="N208" s="31">
        <v>-18543.273333333334</v>
      </c>
      <c r="O208" s="31">
        <v>-14833.333333333334</v>
      </c>
      <c r="P208" s="31">
        <v>-14833.333333333334</v>
      </c>
      <c r="Q208" s="31">
        <v>-14833.333333333334</v>
      </c>
      <c r="R208" s="30">
        <v>5540000</v>
      </c>
      <c r="S208" s="30" t="s">
        <v>187</v>
      </c>
      <c r="T208" s="30" t="s">
        <v>188</v>
      </c>
      <c r="U208" s="30" t="s">
        <v>189</v>
      </c>
      <c r="V208" s="30" t="s">
        <v>348</v>
      </c>
      <c r="W208" s="30">
        <v>0</v>
      </c>
      <c r="X208" s="33">
        <v>5540000</v>
      </c>
    </row>
    <row r="209" spans="1:24" s="30" customFormat="1">
      <c r="A209" s="1" t="s">
        <v>11</v>
      </c>
      <c r="B209" s="26">
        <v>6744</v>
      </c>
      <c r="C209" s="26" t="s">
        <v>382</v>
      </c>
      <c r="D209" s="30" t="s">
        <v>186</v>
      </c>
      <c r="E209" s="11">
        <f t="shared" si="9"/>
        <v>0</v>
      </c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0">
        <v>5540000</v>
      </c>
      <c r="S209" s="30" t="s">
        <v>361</v>
      </c>
      <c r="T209" s="30" t="s">
        <v>188</v>
      </c>
      <c r="U209" s="30" t="s">
        <v>189</v>
      </c>
      <c r="V209" s="30" t="s">
        <v>348</v>
      </c>
      <c r="W209" s="30">
        <v>0</v>
      </c>
      <c r="X209" s="33">
        <v>5540000</v>
      </c>
    </row>
    <row r="210" spans="1:24" s="30" customFormat="1">
      <c r="A210" s="1" t="s">
        <v>11</v>
      </c>
      <c r="B210" s="26">
        <v>6745</v>
      </c>
      <c r="C210" s="26" t="s">
        <v>383</v>
      </c>
      <c r="D210" s="30" t="s">
        <v>186</v>
      </c>
      <c r="E210" s="11">
        <f t="shared" si="9"/>
        <v>0</v>
      </c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0">
        <v>5540000</v>
      </c>
      <c r="S210" s="30" t="s">
        <v>365</v>
      </c>
      <c r="T210" s="30" t="s">
        <v>188</v>
      </c>
      <c r="U210" s="30" t="s">
        <v>189</v>
      </c>
      <c r="V210" s="30" t="s">
        <v>348</v>
      </c>
      <c r="W210" s="30">
        <v>0</v>
      </c>
      <c r="X210" s="33">
        <v>5540000</v>
      </c>
    </row>
    <row r="211" spans="1:24">
      <c r="A211" s="1" t="s">
        <v>11</v>
      </c>
      <c r="B211" s="26">
        <v>6746</v>
      </c>
      <c r="C211" s="26" t="s">
        <v>384</v>
      </c>
      <c r="D211" s="1" t="s">
        <v>186</v>
      </c>
      <c r="E211" s="11">
        <f t="shared" si="9"/>
        <v>-25156.735200000003</v>
      </c>
      <c r="F211" s="31">
        <v>-2195.1927999999998</v>
      </c>
      <c r="G211" s="31">
        <v>-2195.1927999999998</v>
      </c>
      <c r="H211" s="31">
        <v>-2195.1927999999998</v>
      </c>
      <c r="I211" s="31">
        <v>-2195.1927999999998</v>
      </c>
      <c r="J211" s="31">
        <v>-2195.1927999999998</v>
      </c>
      <c r="K211" s="31">
        <v>-2195.1927999999998</v>
      </c>
      <c r="L211" s="31">
        <v>-2195.1927999999998</v>
      </c>
      <c r="M211" s="31">
        <v>-2225.1927999999998</v>
      </c>
      <c r="N211" s="31">
        <v>-2225.1927999999998</v>
      </c>
      <c r="O211" s="31">
        <v>-1780</v>
      </c>
      <c r="P211" s="31">
        <v>-1780</v>
      </c>
      <c r="Q211" s="31">
        <v>-1780</v>
      </c>
      <c r="R211" s="1">
        <v>5540000</v>
      </c>
      <c r="S211" s="1" t="s">
        <v>187</v>
      </c>
      <c r="T211" s="1" t="s">
        <v>188</v>
      </c>
      <c r="U211" s="1" t="s">
        <v>189</v>
      </c>
      <c r="V211" s="1" t="s">
        <v>367</v>
      </c>
      <c r="W211" s="1">
        <v>0</v>
      </c>
      <c r="X211" s="14">
        <v>5540000</v>
      </c>
    </row>
    <row r="212" spans="1:24" s="30" customFormat="1">
      <c r="A212" s="1" t="s">
        <v>11</v>
      </c>
      <c r="B212" s="26">
        <v>6748</v>
      </c>
      <c r="C212" s="26" t="s">
        <v>385</v>
      </c>
      <c r="D212" s="30" t="s">
        <v>186</v>
      </c>
      <c r="E212" s="11">
        <f t="shared" si="9"/>
        <v>231675.22186666672</v>
      </c>
      <c r="F212" s="31">
        <v>20042.612800000003</v>
      </c>
      <c r="G212" s="31">
        <v>20042.612800000003</v>
      </c>
      <c r="H212" s="31">
        <v>20042.612800000003</v>
      </c>
      <c r="I212" s="31">
        <v>20042.612800000003</v>
      </c>
      <c r="J212" s="31">
        <v>20042.612800000003</v>
      </c>
      <c r="K212" s="31">
        <v>20042.612800000003</v>
      </c>
      <c r="L212" s="31">
        <v>20042.612800000003</v>
      </c>
      <c r="M212" s="31">
        <v>20768.466133333335</v>
      </c>
      <c r="N212" s="31">
        <v>20768.466133333335</v>
      </c>
      <c r="O212" s="31">
        <v>16613.333333333336</v>
      </c>
      <c r="P212" s="31">
        <v>16613.333333333336</v>
      </c>
      <c r="Q212" s="31">
        <v>16613.333333333336</v>
      </c>
      <c r="R212" s="30">
        <v>5540000</v>
      </c>
      <c r="S212" s="30" t="s">
        <v>187</v>
      </c>
      <c r="T212" s="30" t="s">
        <v>188</v>
      </c>
      <c r="U212" s="30" t="s">
        <v>189</v>
      </c>
      <c r="V212" s="30" t="s">
        <v>348</v>
      </c>
      <c r="W212" s="30">
        <v>0</v>
      </c>
      <c r="X212" s="33">
        <v>5540000</v>
      </c>
    </row>
    <row r="213" spans="1:24">
      <c r="A213" s="1" t="s">
        <v>11</v>
      </c>
      <c r="B213" s="26">
        <v>6753</v>
      </c>
      <c r="C213" s="26" t="s">
        <v>386</v>
      </c>
      <c r="D213" s="1" t="s">
        <v>186</v>
      </c>
      <c r="E213" s="11">
        <f t="shared" si="9"/>
        <v>-1968648.9764856664</v>
      </c>
      <c r="F213" s="31">
        <v>-139267.67447866668</v>
      </c>
      <c r="G213" s="31">
        <v>-167601.007812</v>
      </c>
      <c r="H213" s="31">
        <v>-167601.007812</v>
      </c>
      <c r="I213" s="31">
        <v>-167601.007812</v>
      </c>
      <c r="J213" s="31">
        <v>-167601.007812</v>
      </c>
      <c r="K213" s="31">
        <v>-167601.007812</v>
      </c>
      <c r="L213" s="31">
        <v>-167601.007812</v>
      </c>
      <c r="M213" s="31">
        <v>-164755.05102699998</v>
      </c>
      <c r="N213" s="31">
        <v>-164755.05102699998</v>
      </c>
      <c r="O213" s="31">
        <v>-164755.05102699998</v>
      </c>
      <c r="P213" s="31">
        <v>-164755.05102699998</v>
      </c>
      <c r="Q213" s="31">
        <v>-164755.05102699998</v>
      </c>
      <c r="R213" s="1">
        <v>6021001</v>
      </c>
      <c r="S213" s="1" t="s">
        <v>187</v>
      </c>
      <c r="T213" s="1" t="s">
        <v>188</v>
      </c>
      <c r="U213" s="1" t="s">
        <v>189</v>
      </c>
      <c r="V213" s="1" t="s">
        <v>348</v>
      </c>
      <c r="W213" s="1">
        <v>0</v>
      </c>
      <c r="X213" s="14">
        <v>6021001</v>
      </c>
    </row>
    <row r="214" spans="1:24">
      <c r="A214" s="1" t="s">
        <v>11</v>
      </c>
      <c r="B214" s="26">
        <v>6754</v>
      </c>
      <c r="C214" s="26" t="s">
        <v>387</v>
      </c>
      <c r="D214" s="1" t="s">
        <v>186</v>
      </c>
      <c r="E214" s="11">
        <f t="shared" si="9"/>
        <v>0</v>
      </c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1">
        <v>6024001</v>
      </c>
      <c r="S214" s="1" t="s">
        <v>361</v>
      </c>
      <c r="T214" s="1" t="s">
        <v>188</v>
      </c>
      <c r="U214" s="1" t="s">
        <v>362</v>
      </c>
      <c r="V214" s="1" t="s">
        <v>348</v>
      </c>
      <c r="W214" s="1">
        <v>0</v>
      </c>
      <c r="X214" s="14">
        <v>6024001</v>
      </c>
    </row>
    <row r="215" spans="1:24">
      <c r="A215" s="1" t="s">
        <v>11</v>
      </c>
      <c r="B215" s="26">
        <v>6755</v>
      </c>
      <c r="C215" s="26" t="s">
        <v>388</v>
      </c>
      <c r="D215" s="1" t="s">
        <v>186</v>
      </c>
      <c r="E215" s="11">
        <f t="shared" si="9"/>
        <v>0</v>
      </c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1">
        <v>6024002</v>
      </c>
      <c r="S215" s="1" t="s">
        <v>365</v>
      </c>
      <c r="T215" s="1" t="s">
        <v>188</v>
      </c>
      <c r="U215" s="1" t="s">
        <v>362</v>
      </c>
      <c r="V215" s="1" t="s">
        <v>348</v>
      </c>
      <c r="W215" s="1">
        <v>0</v>
      </c>
      <c r="X215" s="14">
        <v>6024002</v>
      </c>
    </row>
    <row r="216" spans="1:24">
      <c r="A216" s="1" t="s">
        <v>11</v>
      </c>
      <c r="B216" s="26">
        <v>6756</v>
      </c>
      <c r="C216" s="26" t="s">
        <v>389</v>
      </c>
      <c r="D216" s="1" t="s">
        <v>186</v>
      </c>
      <c r="E216" s="11">
        <f t="shared" si="9"/>
        <v>-236237.87717827994</v>
      </c>
      <c r="F216" s="31">
        <v>-16712.120937439999</v>
      </c>
      <c r="G216" s="31">
        <v>-20112.120937439999</v>
      </c>
      <c r="H216" s="31">
        <v>-20112.120937439999</v>
      </c>
      <c r="I216" s="31">
        <v>-20112.120937439999</v>
      </c>
      <c r="J216" s="31">
        <v>-20112.120937439999</v>
      </c>
      <c r="K216" s="31">
        <v>-20112.120937439999</v>
      </c>
      <c r="L216" s="31">
        <v>-20112.120937439999</v>
      </c>
      <c r="M216" s="31">
        <v>-19770.606123240002</v>
      </c>
      <c r="N216" s="31">
        <v>-19770.606123240002</v>
      </c>
      <c r="O216" s="31">
        <v>-19770.606123240002</v>
      </c>
      <c r="P216" s="31">
        <v>-19770.606123240002</v>
      </c>
      <c r="Q216" s="31">
        <v>-19770.606123240002</v>
      </c>
      <c r="R216" s="1">
        <v>6021001</v>
      </c>
      <c r="S216" s="1" t="s">
        <v>187</v>
      </c>
      <c r="T216" s="1" t="s">
        <v>188</v>
      </c>
      <c r="U216" s="1" t="s">
        <v>189</v>
      </c>
      <c r="V216" s="1" t="s">
        <v>367</v>
      </c>
      <c r="W216" s="1">
        <v>0</v>
      </c>
      <c r="X216" s="14">
        <v>6021001</v>
      </c>
    </row>
    <row r="217" spans="1:24">
      <c r="A217" s="1" t="s">
        <v>11</v>
      </c>
      <c r="B217" s="26">
        <v>6757</v>
      </c>
      <c r="C217" s="26" t="s">
        <v>390</v>
      </c>
      <c r="D217" s="1" t="s">
        <v>186</v>
      </c>
      <c r="E217" s="11">
        <f t="shared" si="9"/>
        <v>0</v>
      </c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1">
        <v>6021003</v>
      </c>
      <c r="S217" s="1" t="s">
        <v>375</v>
      </c>
      <c r="T217" s="1" t="s">
        <v>188</v>
      </c>
      <c r="U217" s="1" t="s">
        <v>189</v>
      </c>
      <c r="V217" s="1" t="s">
        <v>348</v>
      </c>
      <c r="W217" s="1">
        <v>0</v>
      </c>
      <c r="X217" s="14">
        <v>6021003</v>
      </c>
    </row>
    <row r="218" spans="1:24">
      <c r="A218" s="1" t="s">
        <v>11</v>
      </c>
      <c r="B218" s="26">
        <v>6758</v>
      </c>
      <c r="C218" s="26" t="s">
        <v>391</v>
      </c>
      <c r="D218" s="1" t="s">
        <v>186</v>
      </c>
      <c r="E218" s="11">
        <f t="shared" si="9"/>
        <v>0</v>
      </c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1">
        <v>6021001</v>
      </c>
      <c r="S218" s="1" t="s">
        <v>187</v>
      </c>
      <c r="T218" s="1" t="s">
        <v>188</v>
      </c>
      <c r="U218" s="1" t="s">
        <v>189</v>
      </c>
      <c r="V218" s="1" t="s">
        <v>348</v>
      </c>
      <c r="W218" s="1">
        <v>0</v>
      </c>
      <c r="X218" s="14">
        <v>6021001</v>
      </c>
    </row>
    <row r="219" spans="1:24">
      <c r="A219" s="1" t="s">
        <v>11</v>
      </c>
      <c r="B219" s="26">
        <v>6783</v>
      </c>
      <c r="C219" s="26" t="s">
        <v>392</v>
      </c>
      <c r="D219" s="1" t="s">
        <v>186</v>
      </c>
      <c r="E219" s="11">
        <f t="shared" si="9"/>
        <v>-813845.20833333314</v>
      </c>
      <c r="F219" s="31">
        <v>-67362.5</v>
      </c>
      <c r="G219" s="31">
        <v>-67362.5</v>
      </c>
      <c r="H219" s="31">
        <v>-67362.5</v>
      </c>
      <c r="I219" s="31">
        <v>-67362.5</v>
      </c>
      <c r="J219" s="31">
        <v>-67362.5</v>
      </c>
      <c r="K219" s="31">
        <v>-67362.5</v>
      </c>
      <c r="L219" s="31">
        <v>-67362.5</v>
      </c>
      <c r="M219" s="31">
        <v>-68461.541666666657</v>
      </c>
      <c r="N219" s="31">
        <v>-68461.541666666657</v>
      </c>
      <c r="O219" s="31">
        <v>-68461.541666666657</v>
      </c>
      <c r="P219" s="31">
        <v>-68461.541666666657</v>
      </c>
      <c r="Q219" s="31">
        <v>-68461.541666666657</v>
      </c>
      <c r="R219" s="1">
        <v>6021001</v>
      </c>
      <c r="S219" s="1" t="s">
        <v>187</v>
      </c>
      <c r="T219" s="1" t="s">
        <v>188</v>
      </c>
      <c r="U219" s="1" t="s">
        <v>189</v>
      </c>
      <c r="X219" s="14"/>
    </row>
    <row r="220" spans="1:24">
      <c r="A220" s="1" t="s">
        <v>11</v>
      </c>
      <c r="B220" s="26">
        <v>6786</v>
      </c>
      <c r="C220" s="26" t="s">
        <v>393</v>
      </c>
      <c r="D220" s="1" t="s">
        <v>186</v>
      </c>
      <c r="E220" s="11">
        <f t="shared" si="9"/>
        <v>-81811.424999999988</v>
      </c>
      <c r="F220" s="31">
        <v>-6783.5</v>
      </c>
      <c r="G220" s="31">
        <v>-6783.5</v>
      </c>
      <c r="H220" s="31">
        <v>-6783.5</v>
      </c>
      <c r="I220" s="31">
        <v>-6783.5</v>
      </c>
      <c r="J220" s="31">
        <v>-6783.5</v>
      </c>
      <c r="K220" s="31">
        <v>-6783.5</v>
      </c>
      <c r="L220" s="31">
        <v>-6783.5</v>
      </c>
      <c r="M220" s="31">
        <v>-6865.3850000000002</v>
      </c>
      <c r="N220" s="31">
        <v>-6865.3850000000002</v>
      </c>
      <c r="O220" s="31">
        <v>-6865.3850000000002</v>
      </c>
      <c r="P220" s="31">
        <v>-6865.3850000000002</v>
      </c>
      <c r="Q220" s="31">
        <v>-6865.3850000000002</v>
      </c>
      <c r="R220" s="1">
        <v>6021001</v>
      </c>
      <c r="S220" s="1" t="s">
        <v>187</v>
      </c>
      <c r="T220" s="1" t="s">
        <v>188</v>
      </c>
      <c r="U220" s="1" t="s">
        <v>189</v>
      </c>
      <c r="X220" s="14"/>
    </row>
    <row r="221" spans="1:24">
      <c r="A221" s="1" t="s">
        <v>11</v>
      </c>
      <c r="B221" s="26">
        <v>6787</v>
      </c>
      <c r="C221" s="26" t="s">
        <v>394</v>
      </c>
      <c r="D221" s="1" t="s">
        <v>186</v>
      </c>
      <c r="E221" s="11">
        <f t="shared" si="9"/>
        <v>0</v>
      </c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1">
        <v>6021001</v>
      </c>
      <c r="S221" s="1" t="s">
        <v>187</v>
      </c>
      <c r="T221" s="1" t="s">
        <v>188</v>
      </c>
      <c r="U221" s="1" t="s">
        <v>189</v>
      </c>
      <c r="X221" s="14"/>
    </row>
    <row r="222" spans="1:24">
      <c r="A222" s="1" t="s">
        <v>11</v>
      </c>
      <c r="B222" s="26">
        <v>6784</v>
      </c>
      <c r="C222" s="26" t="s">
        <v>395</v>
      </c>
      <c r="D222" s="1" t="s">
        <v>186</v>
      </c>
      <c r="E222" s="11">
        <f t="shared" si="9"/>
        <v>0</v>
      </c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1">
        <v>6021001</v>
      </c>
      <c r="S222" s="1" t="s">
        <v>187</v>
      </c>
      <c r="T222" s="1" t="s">
        <v>188</v>
      </c>
      <c r="U222" s="1" t="s">
        <v>189</v>
      </c>
      <c r="X222" s="14"/>
    </row>
    <row r="223" spans="1:24">
      <c r="A223" s="1" t="s">
        <v>11</v>
      </c>
      <c r="B223" s="26">
        <v>6785</v>
      </c>
      <c r="C223" s="26" t="s">
        <v>396</v>
      </c>
      <c r="D223" s="1" t="s">
        <v>186</v>
      </c>
      <c r="E223" s="11">
        <f t="shared" si="9"/>
        <v>0</v>
      </c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1">
        <v>6021001</v>
      </c>
      <c r="S223" s="1" t="s">
        <v>187</v>
      </c>
      <c r="T223" s="1" t="s">
        <v>188</v>
      </c>
      <c r="U223" s="1" t="s">
        <v>189</v>
      </c>
      <c r="X223" s="14"/>
    </row>
    <row r="224" spans="1:24">
      <c r="A224" s="1" t="s">
        <v>11</v>
      </c>
      <c r="B224" s="26">
        <v>6788</v>
      </c>
      <c r="C224" s="26" t="s">
        <v>397</v>
      </c>
      <c r="D224" s="1" t="s">
        <v>186</v>
      </c>
      <c r="E224" s="11">
        <f t="shared" si="9"/>
        <v>370515.20653340145</v>
      </c>
      <c r="F224" s="31">
        <v>30876.267211116778</v>
      </c>
      <c r="G224" s="31">
        <v>30876.267211116778</v>
      </c>
      <c r="H224" s="31">
        <v>30876.267211116778</v>
      </c>
      <c r="I224" s="31">
        <v>30876.267211116778</v>
      </c>
      <c r="J224" s="31">
        <v>30876.267211116778</v>
      </c>
      <c r="K224" s="31">
        <v>30876.267211116778</v>
      </c>
      <c r="L224" s="31">
        <v>30876.267211116778</v>
      </c>
      <c r="M224" s="31">
        <v>30876.267211116778</v>
      </c>
      <c r="N224" s="31">
        <v>30876.267211116778</v>
      </c>
      <c r="O224" s="31">
        <v>30876.267211116778</v>
      </c>
      <c r="P224" s="31">
        <v>30876.267211116778</v>
      </c>
      <c r="Q224" s="31">
        <v>30876.267211116778</v>
      </c>
      <c r="R224" s="1">
        <v>6021001</v>
      </c>
      <c r="S224" s="1" t="s">
        <v>187</v>
      </c>
      <c r="T224" s="1" t="s">
        <v>188</v>
      </c>
      <c r="U224" s="1" t="s">
        <v>189</v>
      </c>
      <c r="X224" s="14"/>
    </row>
    <row r="225" spans="1:24">
      <c r="A225" s="1" t="s">
        <v>11</v>
      </c>
      <c r="B225" s="26">
        <v>6763</v>
      </c>
      <c r="C225" s="26" t="s">
        <v>398</v>
      </c>
      <c r="D225" s="1" t="s">
        <v>186</v>
      </c>
      <c r="E225" s="11">
        <f t="shared" si="9"/>
        <v>-213978.20059933339</v>
      </c>
      <c r="F225" s="31">
        <v>-17660.000048333335</v>
      </c>
      <c r="G225" s="31">
        <v>-17660.000048333335</v>
      </c>
      <c r="H225" s="31">
        <v>-17660.000048333335</v>
      </c>
      <c r="I225" s="31">
        <v>-17660.000048333335</v>
      </c>
      <c r="J225" s="31">
        <v>-17660.000048333335</v>
      </c>
      <c r="K225" s="31">
        <v>-17660.000048333335</v>
      </c>
      <c r="L225" s="31">
        <v>-17660.000048333335</v>
      </c>
      <c r="M225" s="31">
        <v>-18071.6400522</v>
      </c>
      <c r="N225" s="31">
        <v>-18071.6400522</v>
      </c>
      <c r="O225" s="31">
        <v>-18071.6400522</v>
      </c>
      <c r="P225" s="31">
        <v>-18071.6400522</v>
      </c>
      <c r="Q225" s="31">
        <v>-18071.6400522</v>
      </c>
      <c r="R225" s="1">
        <v>6021001</v>
      </c>
      <c r="S225" s="1" t="s">
        <v>187</v>
      </c>
      <c r="T225" s="1" t="s">
        <v>188</v>
      </c>
      <c r="U225" s="1" t="s">
        <v>189</v>
      </c>
      <c r="V225" s="1" t="s">
        <v>348</v>
      </c>
      <c r="W225" s="1">
        <v>0</v>
      </c>
      <c r="X225" s="14">
        <v>6021001</v>
      </c>
    </row>
    <row r="226" spans="1:24">
      <c r="A226" s="1" t="s">
        <v>11</v>
      </c>
      <c r="B226" s="26">
        <v>6764</v>
      </c>
      <c r="C226" s="26" t="s">
        <v>399</v>
      </c>
      <c r="D226" s="1" t="s">
        <v>186</v>
      </c>
      <c r="E226" s="11">
        <f t="shared" si="9"/>
        <v>0</v>
      </c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1">
        <v>6024001</v>
      </c>
      <c r="S226" s="1" t="s">
        <v>361</v>
      </c>
      <c r="T226" s="1" t="s">
        <v>188</v>
      </c>
      <c r="U226" s="1" t="s">
        <v>362</v>
      </c>
      <c r="V226" s="1" t="s">
        <v>348</v>
      </c>
      <c r="W226" s="1">
        <v>0</v>
      </c>
      <c r="X226" s="14">
        <v>6024001</v>
      </c>
    </row>
    <row r="227" spans="1:24">
      <c r="A227" s="1" t="s">
        <v>11</v>
      </c>
      <c r="B227" s="26">
        <v>6765</v>
      </c>
      <c r="C227" s="26" t="s">
        <v>400</v>
      </c>
      <c r="D227" s="1" t="s">
        <v>186</v>
      </c>
      <c r="E227" s="11">
        <f t="shared" si="9"/>
        <v>0</v>
      </c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1">
        <v>6024002</v>
      </c>
      <c r="S227" s="1" t="s">
        <v>365</v>
      </c>
      <c r="T227" s="1" t="s">
        <v>188</v>
      </c>
      <c r="U227" s="1" t="s">
        <v>362</v>
      </c>
      <c r="V227" s="1" t="s">
        <v>348</v>
      </c>
      <c r="W227" s="1">
        <v>0</v>
      </c>
      <c r="X227" s="14">
        <v>6024002</v>
      </c>
    </row>
    <row r="228" spans="1:24">
      <c r="A228" s="1" t="s">
        <v>11</v>
      </c>
      <c r="B228" s="26">
        <v>6766</v>
      </c>
      <c r="C228" s="26" t="s">
        <v>401</v>
      </c>
      <c r="D228" s="1" t="s">
        <v>186</v>
      </c>
      <c r="E228" s="11">
        <f t="shared" ref="E228:E291" si="10">SUM(F228:Q228)</f>
        <v>-25677.384071919991</v>
      </c>
      <c r="F228" s="31">
        <v>-2119.2000057999999</v>
      </c>
      <c r="G228" s="31">
        <v>-2119.2000057999999</v>
      </c>
      <c r="H228" s="31">
        <v>-2119.2000057999999</v>
      </c>
      <c r="I228" s="31">
        <v>-2119.2000057999999</v>
      </c>
      <c r="J228" s="31">
        <v>-2119.2000057999999</v>
      </c>
      <c r="K228" s="31">
        <v>-2119.2000057999999</v>
      </c>
      <c r="L228" s="31">
        <v>-2119.2000057999999</v>
      </c>
      <c r="M228" s="31">
        <v>-2168.596806264</v>
      </c>
      <c r="N228" s="31">
        <v>-2168.596806264</v>
      </c>
      <c r="O228" s="31">
        <v>-2168.596806264</v>
      </c>
      <c r="P228" s="31">
        <v>-2168.596806264</v>
      </c>
      <c r="Q228" s="31">
        <v>-2168.596806264</v>
      </c>
      <c r="R228" s="1">
        <v>6021001</v>
      </c>
      <c r="S228" s="1" t="s">
        <v>187</v>
      </c>
      <c r="T228" s="1" t="s">
        <v>188</v>
      </c>
      <c r="U228" s="1" t="s">
        <v>189</v>
      </c>
      <c r="V228" s="1" t="s">
        <v>367</v>
      </c>
      <c r="W228" s="1">
        <v>0</v>
      </c>
      <c r="X228" s="14">
        <v>6021001</v>
      </c>
    </row>
    <row r="229" spans="1:24">
      <c r="A229" s="1" t="s">
        <v>11</v>
      </c>
      <c r="B229" s="26">
        <v>6772</v>
      </c>
      <c r="C229" s="26" t="s">
        <v>402</v>
      </c>
      <c r="D229" s="1" t="s">
        <v>186</v>
      </c>
      <c r="E229" s="11">
        <f t="shared" si="10"/>
        <v>-43200</v>
      </c>
      <c r="F229" s="31">
        <v>-3600</v>
      </c>
      <c r="G229" s="31">
        <v>-3600</v>
      </c>
      <c r="H229" s="31">
        <v>-3600</v>
      </c>
      <c r="I229" s="31">
        <v>-3600</v>
      </c>
      <c r="J229" s="31">
        <v>-3600</v>
      </c>
      <c r="K229" s="31">
        <v>-3600</v>
      </c>
      <c r="L229" s="31">
        <v>-3600</v>
      </c>
      <c r="M229" s="31">
        <v>-3600</v>
      </c>
      <c r="N229" s="31">
        <v>-3600</v>
      </c>
      <c r="O229" s="31">
        <v>-3600</v>
      </c>
      <c r="P229" s="31">
        <v>-3600</v>
      </c>
      <c r="Q229" s="31">
        <v>-3600</v>
      </c>
      <c r="R229" s="1">
        <v>6025002</v>
      </c>
      <c r="S229" s="1" t="s">
        <v>403</v>
      </c>
      <c r="T229" s="1" t="s">
        <v>188</v>
      </c>
      <c r="U229" s="1" t="s">
        <v>347</v>
      </c>
      <c r="V229" s="1" t="s">
        <v>348</v>
      </c>
      <c r="W229" s="1">
        <v>0</v>
      </c>
      <c r="X229" s="14">
        <v>6025002</v>
      </c>
    </row>
    <row r="230" spans="1:24">
      <c r="A230" s="1" t="s">
        <v>11</v>
      </c>
      <c r="B230" s="26">
        <v>6773</v>
      </c>
      <c r="C230" s="26" t="s">
        <v>404</v>
      </c>
      <c r="D230" s="1" t="s">
        <v>186</v>
      </c>
      <c r="E230" s="11">
        <f t="shared" si="10"/>
        <v>-195622.22603299998</v>
      </c>
      <c r="F230" s="31">
        <v>-16125.244897199998</v>
      </c>
      <c r="G230" s="31">
        <v>-16125.244897199998</v>
      </c>
      <c r="H230" s="31">
        <v>-16125.244897199998</v>
      </c>
      <c r="I230" s="31">
        <v>-16125.244897199998</v>
      </c>
      <c r="J230" s="31">
        <v>-16125.244897199998</v>
      </c>
      <c r="K230" s="31">
        <v>-16125.244897199998</v>
      </c>
      <c r="L230" s="31">
        <v>-16125.244897199998</v>
      </c>
      <c r="M230" s="31">
        <v>-16549.102350519999</v>
      </c>
      <c r="N230" s="31">
        <v>-16549.102350519999</v>
      </c>
      <c r="O230" s="31">
        <v>-16549.102350519999</v>
      </c>
      <c r="P230" s="31">
        <v>-16549.102350519999</v>
      </c>
      <c r="Q230" s="31">
        <v>-16549.102350519999</v>
      </c>
      <c r="R230" s="1">
        <v>6025003</v>
      </c>
      <c r="S230" s="1" t="s">
        <v>346</v>
      </c>
      <c r="T230" s="1" t="s">
        <v>188</v>
      </c>
      <c r="U230" s="1" t="s">
        <v>347</v>
      </c>
      <c r="V230" s="1" t="s">
        <v>348</v>
      </c>
      <c r="W230" s="1">
        <v>0</v>
      </c>
      <c r="X230" s="14">
        <v>6025003</v>
      </c>
    </row>
    <row r="231" spans="1:24">
      <c r="A231" s="1" t="s">
        <v>11</v>
      </c>
      <c r="B231" s="26">
        <v>6774</v>
      </c>
      <c r="C231" s="26" t="s">
        <v>405</v>
      </c>
      <c r="D231" s="1" t="s">
        <v>186</v>
      </c>
      <c r="E231" s="11">
        <f t="shared" si="10"/>
        <v>0</v>
      </c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1">
        <v>6024001</v>
      </c>
      <c r="S231" s="1" t="s">
        <v>361</v>
      </c>
      <c r="T231" s="1" t="s">
        <v>188</v>
      </c>
      <c r="U231" s="1" t="s">
        <v>362</v>
      </c>
      <c r="V231" s="1" t="s">
        <v>348</v>
      </c>
      <c r="W231" s="1">
        <v>0</v>
      </c>
      <c r="X231" s="14">
        <v>6024001</v>
      </c>
    </row>
    <row r="232" spans="1:24">
      <c r="A232" s="1" t="s">
        <v>11</v>
      </c>
      <c r="B232" s="26">
        <v>6801</v>
      </c>
      <c r="C232" s="26" t="s">
        <v>406</v>
      </c>
      <c r="D232" s="1" t="s">
        <v>186</v>
      </c>
      <c r="E232" s="11">
        <f t="shared" si="10"/>
        <v>0</v>
      </c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1">
        <v>6021001</v>
      </c>
      <c r="S232" s="1" t="s">
        <v>187</v>
      </c>
      <c r="T232" s="1" t="s">
        <v>188</v>
      </c>
      <c r="U232" s="1" t="s">
        <v>189</v>
      </c>
      <c r="V232" s="1" t="s">
        <v>348</v>
      </c>
      <c r="W232" s="1">
        <v>0</v>
      </c>
      <c r="X232" s="14">
        <v>6021001</v>
      </c>
    </row>
    <row r="233" spans="1:24">
      <c r="A233" s="1" t="s">
        <v>11</v>
      </c>
      <c r="B233" s="26">
        <v>6791</v>
      </c>
      <c r="C233" s="26" t="s">
        <v>407</v>
      </c>
      <c r="D233" s="1" t="s">
        <v>186</v>
      </c>
      <c r="E233" s="11">
        <f t="shared" si="10"/>
        <v>-228869.09862135007</v>
      </c>
      <c r="F233" s="31">
        <v>-17686.607544507922</v>
      </c>
      <c r="G233" s="31">
        <v>-19263.806794507924</v>
      </c>
      <c r="H233" s="31">
        <v>-19244.940877841258</v>
      </c>
      <c r="I233" s="31">
        <v>-19263.806794507924</v>
      </c>
      <c r="J233" s="31">
        <v>-19244.940877841258</v>
      </c>
      <c r="K233" s="31">
        <v>-19263.806794507924</v>
      </c>
      <c r="L233" s="31">
        <v>-19244.940877841258</v>
      </c>
      <c r="M233" s="31">
        <v>-19261.223998625592</v>
      </c>
      <c r="N233" s="31">
        <v>-19242.358081958926</v>
      </c>
      <c r="O233" s="31">
        <v>-19057.177298625589</v>
      </c>
      <c r="P233" s="31">
        <v>-19038.311381958923</v>
      </c>
      <c r="Q233" s="31">
        <v>-19057.177298625589</v>
      </c>
      <c r="R233" s="1">
        <v>6027008</v>
      </c>
      <c r="S233" s="1" t="s">
        <v>408</v>
      </c>
      <c r="T233" s="1" t="s">
        <v>188</v>
      </c>
      <c r="U233" s="1" t="s">
        <v>409</v>
      </c>
      <c r="V233" s="1" t="s">
        <v>253</v>
      </c>
      <c r="W233" s="1">
        <v>0</v>
      </c>
      <c r="X233" s="14">
        <v>6027008</v>
      </c>
    </row>
    <row r="234" spans="1:24">
      <c r="A234" s="1" t="s">
        <v>11</v>
      </c>
      <c r="B234" s="26">
        <v>6794</v>
      </c>
      <c r="C234" s="26" t="s">
        <v>410</v>
      </c>
      <c r="D234" s="1" t="s">
        <v>186</v>
      </c>
      <c r="E234" s="11">
        <f t="shared" si="10"/>
        <v>0</v>
      </c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1">
        <v>6027008</v>
      </c>
      <c r="S234" s="1" t="s">
        <v>411</v>
      </c>
      <c r="T234" s="1" t="s">
        <v>188</v>
      </c>
      <c r="U234" s="1" t="s">
        <v>409</v>
      </c>
      <c r="X234" s="14"/>
    </row>
    <row r="235" spans="1:24">
      <c r="A235" s="1" t="s">
        <v>11</v>
      </c>
      <c r="B235" s="26">
        <v>6792</v>
      </c>
      <c r="C235" s="26" t="s">
        <v>412</v>
      </c>
      <c r="D235" s="1" t="s">
        <v>186</v>
      </c>
      <c r="E235" s="11">
        <f t="shared" si="10"/>
        <v>-11691.624999999996</v>
      </c>
      <c r="F235" s="31">
        <v>-967.08333333333326</v>
      </c>
      <c r="G235" s="31">
        <v>-967.08333333333326</v>
      </c>
      <c r="H235" s="31">
        <v>-967.08333333333326</v>
      </c>
      <c r="I235" s="31">
        <v>-967.08333333333326</v>
      </c>
      <c r="J235" s="31">
        <v>-967.08333333333326</v>
      </c>
      <c r="K235" s="31">
        <v>-967.08333333333326</v>
      </c>
      <c r="L235" s="31">
        <v>-967.08333333333326</v>
      </c>
      <c r="M235" s="31">
        <v>-984.4083333333333</v>
      </c>
      <c r="N235" s="31">
        <v>-984.4083333333333</v>
      </c>
      <c r="O235" s="31">
        <v>-984.4083333333333</v>
      </c>
      <c r="P235" s="31">
        <v>-984.4083333333333</v>
      </c>
      <c r="Q235" s="31">
        <v>-984.4083333333333</v>
      </c>
      <c r="R235" s="1">
        <v>6027004</v>
      </c>
      <c r="S235" s="1" t="s">
        <v>413</v>
      </c>
      <c r="T235" s="1" t="s">
        <v>188</v>
      </c>
      <c r="U235" s="1" t="s">
        <v>409</v>
      </c>
      <c r="V235" s="1" t="s">
        <v>253</v>
      </c>
      <c r="W235" s="1">
        <v>0</v>
      </c>
      <c r="X235" s="14">
        <v>6027004</v>
      </c>
    </row>
    <row r="236" spans="1:24">
      <c r="A236" s="1" t="s">
        <v>414</v>
      </c>
      <c r="B236" s="26">
        <v>6795</v>
      </c>
      <c r="C236" s="26" t="s">
        <v>415</v>
      </c>
      <c r="D236" s="1" t="s">
        <v>186</v>
      </c>
      <c r="E236" s="11">
        <f t="shared" si="10"/>
        <v>-4000</v>
      </c>
      <c r="F236" s="31"/>
      <c r="G236" s="31"/>
      <c r="H236" s="31"/>
      <c r="I236" s="31"/>
      <c r="J236" s="31"/>
      <c r="K236" s="31"/>
      <c r="L236" s="31"/>
      <c r="M236" s="31"/>
      <c r="N236" s="31">
        <v>-4000</v>
      </c>
      <c r="O236" s="31"/>
      <c r="P236" s="31"/>
      <c r="Q236" s="31"/>
      <c r="R236" s="1">
        <v>6028001</v>
      </c>
      <c r="S236" s="1" t="s">
        <v>416</v>
      </c>
      <c r="T236" s="1" t="s">
        <v>188</v>
      </c>
      <c r="U236" s="1" t="s">
        <v>417</v>
      </c>
      <c r="V236" s="1" t="s">
        <v>253</v>
      </c>
      <c r="W236" s="1">
        <v>0</v>
      </c>
      <c r="X236" s="14">
        <v>6028001</v>
      </c>
    </row>
    <row r="237" spans="1:24">
      <c r="A237" s="1" t="s">
        <v>11</v>
      </c>
      <c r="B237" s="26">
        <v>6798</v>
      </c>
      <c r="C237" s="26" t="s">
        <v>418</v>
      </c>
      <c r="D237" s="1" t="s">
        <v>186</v>
      </c>
      <c r="E237" s="11">
        <f t="shared" si="10"/>
        <v>0</v>
      </c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1">
        <v>6026008</v>
      </c>
      <c r="S237" s="1" t="s">
        <v>251</v>
      </c>
      <c r="T237" s="1" t="s">
        <v>188</v>
      </c>
      <c r="U237" s="1" t="s">
        <v>252</v>
      </c>
      <c r="V237" s="1" t="s">
        <v>348</v>
      </c>
      <c r="W237" s="1">
        <v>0</v>
      </c>
      <c r="X237" s="14">
        <v>6026008</v>
      </c>
    </row>
    <row r="238" spans="1:24">
      <c r="A238" s="1" t="s">
        <v>11</v>
      </c>
      <c r="B238" s="26">
        <v>6899</v>
      </c>
      <c r="C238" s="26" t="s">
        <v>419</v>
      </c>
      <c r="D238" s="1" t="str">
        <f>VLOOKUP(B238,'[1]UT Map'!B:K,10,0)</f>
        <v>General Administrative</v>
      </c>
      <c r="E238" s="11">
        <f t="shared" si="10"/>
        <v>0</v>
      </c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1">
        <v>8023001</v>
      </c>
      <c r="S238" s="1" t="s">
        <v>421</v>
      </c>
      <c r="T238" s="1" t="s">
        <v>420</v>
      </c>
      <c r="U238" s="1" t="s">
        <v>422</v>
      </c>
      <c r="V238" s="1" t="e">
        <v>#N/A</v>
      </c>
      <c r="W238" s="1">
        <v>0</v>
      </c>
      <c r="X238" s="14">
        <v>8023001</v>
      </c>
    </row>
    <row r="239" spans="1:24">
      <c r="A239" s="1" t="s">
        <v>11</v>
      </c>
      <c r="B239" s="26">
        <v>6913</v>
      </c>
      <c r="C239" s="26" t="s">
        <v>423</v>
      </c>
      <c r="D239" s="1" t="s">
        <v>194</v>
      </c>
      <c r="E239" s="11">
        <f t="shared" si="10"/>
        <v>0</v>
      </c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1">
        <v>6091010</v>
      </c>
      <c r="S239" s="1" t="s">
        <v>424</v>
      </c>
      <c r="T239" s="1" t="s">
        <v>224</v>
      </c>
      <c r="U239" s="1" t="s">
        <v>425</v>
      </c>
      <c r="V239" s="1" t="s">
        <v>289</v>
      </c>
      <c r="W239" s="1">
        <v>0</v>
      </c>
      <c r="X239" s="14">
        <v>6091010</v>
      </c>
    </row>
    <row r="240" spans="1:24">
      <c r="A240" s="1" t="s">
        <v>11</v>
      </c>
      <c r="B240" s="26">
        <v>6923</v>
      </c>
      <c r="C240" s="26" t="s">
        <v>426</v>
      </c>
      <c r="D240" s="1" t="s">
        <v>194</v>
      </c>
      <c r="E240" s="11">
        <f t="shared" si="10"/>
        <v>-132000</v>
      </c>
      <c r="F240" s="31">
        <v>-11000</v>
      </c>
      <c r="G240" s="31">
        <v>-11000</v>
      </c>
      <c r="H240" s="31">
        <v>-11000</v>
      </c>
      <c r="I240" s="31">
        <v>-11000</v>
      </c>
      <c r="J240" s="31">
        <v>-11000</v>
      </c>
      <c r="K240" s="31">
        <v>-11000</v>
      </c>
      <c r="L240" s="31">
        <v>-11000</v>
      </c>
      <c r="M240" s="31">
        <v>-11000</v>
      </c>
      <c r="N240" s="31">
        <v>-11000</v>
      </c>
      <c r="O240" s="31">
        <v>-11000</v>
      </c>
      <c r="P240" s="31">
        <v>-11000</v>
      </c>
      <c r="Q240" s="31">
        <v>-11000</v>
      </c>
      <c r="R240" s="1">
        <v>6091003</v>
      </c>
      <c r="S240" s="1" t="s">
        <v>427</v>
      </c>
      <c r="T240" s="1" t="s">
        <v>224</v>
      </c>
      <c r="U240" s="1" t="s">
        <v>425</v>
      </c>
      <c r="V240" s="1" t="s">
        <v>289</v>
      </c>
      <c r="W240" s="1">
        <v>0</v>
      </c>
      <c r="X240" s="14">
        <v>6091003</v>
      </c>
    </row>
    <row r="241" spans="1:24">
      <c r="A241" s="1" t="s">
        <v>11</v>
      </c>
      <c r="B241" s="26">
        <v>6933</v>
      </c>
      <c r="C241" s="26" t="s">
        <v>428</v>
      </c>
      <c r="D241" s="1" t="s">
        <v>194</v>
      </c>
      <c r="E241" s="11">
        <f t="shared" si="10"/>
        <v>0</v>
      </c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1">
        <v>6091005</v>
      </c>
      <c r="S241" s="1" t="s">
        <v>429</v>
      </c>
      <c r="T241" s="1" t="s">
        <v>224</v>
      </c>
      <c r="U241" s="1" t="s">
        <v>425</v>
      </c>
      <c r="V241" s="1" t="s">
        <v>289</v>
      </c>
      <c r="W241" s="1">
        <v>0</v>
      </c>
      <c r="X241" s="14">
        <v>6091005</v>
      </c>
    </row>
    <row r="242" spans="1:24">
      <c r="A242" s="1" t="s">
        <v>11</v>
      </c>
      <c r="B242" s="26">
        <v>6943</v>
      </c>
      <c r="C242" s="26" t="s">
        <v>430</v>
      </c>
      <c r="D242" s="1" t="s">
        <v>194</v>
      </c>
      <c r="E242" s="11">
        <f t="shared" si="10"/>
        <v>0</v>
      </c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1">
        <v>6091010</v>
      </c>
      <c r="S242" s="1" t="s">
        <v>424</v>
      </c>
      <c r="T242" s="1" t="s">
        <v>224</v>
      </c>
      <c r="U242" s="1" t="s">
        <v>425</v>
      </c>
      <c r="V242" s="1" t="s">
        <v>289</v>
      </c>
      <c r="W242" s="1">
        <v>0</v>
      </c>
      <c r="X242" s="14">
        <v>6091010</v>
      </c>
    </row>
    <row r="243" spans="1:24">
      <c r="A243" s="1" t="s">
        <v>11</v>
      </c>
      <c r="B243" s="26">
        <v>6926</v>
      </c>
      <c r="C243" s="26" t="s">
        <v>431</v>
      </c>
      <c r="D243" s="1" t="s">
        <v>194</v>
      </c>
      <c r="E243" s="11">
        <f t="shared" si="10"/>
        <v>0</v>
      </c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1">
        <v>6091003</v>
      </c>
      <c r="S243" s="1" t="s">
        <v>427</v>
      </c>
      <c r="T243" s="1" t="s">
        <v>224</v>
      </c>
      <c r="U243" s="1" t="s">
        <v>425</v>
      </c>
      <c r="V243" s="1" t="s">
        <v>289</v>
      </c>
      <c r="W243" s="1">
        <v>0</v>
      </c>
      <c r="X243" s="14">
        <v>6091003</v>
      </c>
    </row>
    <row r="244" spans="1:24">
      <c r="A244" s="1" t="s">
        <v>11</v>
      </c>
      <c r="B244" s="26">
        <v>6936</v>
      </c>
      <c r="C244" s="26" t="s">
        <v>432</v>
      </c>
      <c r="D244" s="1" t="s">
        <v>194</v>
      </c>
      <c r="E244" s="11">
        <f t="shared" si="10"/>
        <v>0</v>
      </c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1">
        <v>6091005</v>
      </c>
      <c r="S244" s="1" t="s">
        <v>429</v>
      </c>
      <c r="T244" s="1" t="s">
        <v>224</v>
      </c>
      <c r="U244" s="1" t="s">
        <v>425</v>
      </c>
      <c r="V244" s="1" t="s">
        <v>289</v>
      </c>
      <c r="W244" s="1">
        <v>0</v>
      </c>
      <c r="X244" s="14">
        <v>6091005</v>
      </c>
    </row>
    <row r="245" spans="1:24">
      <c r="A245" s="1" t="s">
        <v>11</v>
      </c>
      <c r="B245" s="26">
        <v>6946</v>
      </c>
      <c r="C245" s="26" t="s">
        <v>433</v>
      </c>
      <c r="D245" s="1" t="s">
        <v>194</v>
      </c>
      <c r="E245" s="11">
        <f t="shared" si="10"/>
        <v>0</v>
      </c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1">
        <v>6091010</v>
      </c>
      <c r="S245" s="1" t="s">
        <v>424</v>
      </c>
      <c r="T245" s="1" t="s">
        <v>224</v>
      </c>
      <c r="U245" s="1" t="s">
        <v>425</v>
      </c>
      <c r="V245" s="1" t="s">
        <v>289</v>
      </c>
      <c r="W245" s="1">
        <v>0</v>
      </c>
      <c r="X245" s="14">
        <v>6091010</v>
      </c>
    </row>
    <row r="246" spans="1:24">
      <c r="A246" s="1" t="s">
        <v>11</v>
      </c>
      <c r="B246" s="26">
        <v>6917</v>
      </c>
      <c r="C246" s="26" t="s">
        <v>434</v>
      </c>
      <c r="D246" s="1" t="s">
        <v>194</v>
      </c>
      <c r="E246" s="11">
        <f t="shared" si="10"/>
        <v>0</v>
      </c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1">
        <v>6091010</v>
      </c>
      <c r="S246" s="1" t="s">
        <v>424</v>
      </c>
      <c r="T246" s="1" t="s">
        <v>224</v>
      </c>
      <c r="U246" s="1" t="s">
        <v>425</v>
      </c>
      <c r="V246" s="1" t="s">
        <v>289</v>
      </c>
      <c r="W246" s="1">
        <v>0</v>
      </c>
      <c r="X246" s="14">
        <v>6091010</v>
      </c>
    </row>
    <row r="247" spans="1:24">
      <c r="A247" s="1" t="s">
        <v>11</v>
      </c>
      <c r="B247" s="26">
        <v>6927</v>
      </c>
      <c r="C247" s="26" t="s">
        <v>435</v>
      </c>
      <c r="D247" s="1" t="s">
        <v>194</v>
      </c>
      <c r="E247" s="11">
        <f t="shared" si="10"/>
        <v>0</v>
      </c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1">
        <v>6091003</v>
      </c>
      <c r="S247" s="1" t="s">
        <v>427</v>
      </c>
      <c r="T247" s="1" t="s">
        <v>224</v>
      </c>
      <c r="U247" s="1" t="s">
        <v>425</v>
      </c>
      <c r="V247" s="1" t="s">
        <v>289</v>
      </c>
      <c r="W247" s="1">
        <v>0</v>
      </c>
      <c r="X247" s="14">
        <v>6091003</v>
      </c>
    </row>
    <row r="248" spans="1:24">
      <c r="A248" s="1" t="s">
        <v>11</v>
      </c>
      <c r="B248" s="26">
        <v>6937</v>
      </c>
      <c r="C248" s="26" t="s">
        <v>436</v>
      </c>
      <c r="D248" s="1" t="s">
        <v>194</v>
      </c>
      <c r="E248" s="11">
        <f t="shared" si="10"/>
        <v>0</v>
      </c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1">
        <v>6091005</v>
      </c>
      <c r="S248" s="1" t="s">
        <v>429</v>
      </c>
      <c r="T248" s="1" t="s">
        <v>224</v>
      </c>
      <c r="U248" s="1" t="s">
        <v>425</v>
      </c>
      <c r="V248" s="1" t="s">
        <v>289</v>
      </c>
      <c r="W248" s="1">
        <v>0</v>
      </c>
      <c r="X248" s="14">
        <v>6091005</v>
      </c>
    </row>
    <row r="249" spans="1:24">
      <c r="A249" s="1" t="s">
        <v>11</v>
      </c>
      <c r="B249" s="26">
        <v>6949</v>
      </c>
      <c r="C249" s="26" t="s">
        <v>437</v>
      </c>
      <c r="D249" s="1" t="s">
        <v>194</v>
      </c>
      <c r="E249" s="11">
        <f t="shared" si="10"/>
        <v>0</v>
      </c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1">
        <v>6091010</v>
      </c>
      <c r="S249" s="1" t="s">
        <v>424</v>
      </c>
      <c r="T249" s="1" t="s">
        <v>224</v>
      </c>
      <c r="U249" s="1" t="s">
        <v>425</v>
      </c>
      <c r="V249" s="1" t="s">
        <v>289</v>
      </c>
      <c r="W249" s="1">
        <v>0</v>
      </c>
      <c r="X249" s="14">
        <v>6091010</v>
      </c>
    </row>
    <row r="250" spans="1:24">
      <c r="A250" s="1" t="s">
        <v>11</v>
      </c>
      <c r="B250" s="26">
        <v>6888</v>
      </c>
      <c r="C250" s="26" t="s">
        <v>438</v>
      </c>
      <c r="D250" s="1" t="s">
        <v>194</v>
      </c>
      <c r="E250" s="11">
        <f t="shared" si="10"/>
        <v>0</v>
      </c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1">
        <v>6102004</v>
      </c>
      <c r="S250" s="1" t="s">
        <v>185</v>
      </c>
      <c r="T250" s="1" t="s">
        <v>193</v>
      </c>
      <c r="U250" s="1" t="s">
        <v>295</v>
      </c>
      <c r="V250" s="1" t="s">
        <v>185</v>
      </c>
      <c r="W250" s="1">
        <v>0</v>
      </c>
      <c r="X250" s="14">
        <v>6102004</v>
      </c>
    </row>
    <row r="251" spans="1:24" s="15" customFormat="1">
      <c r="A251" s="15" t="s">
        <v>44</v>
      </c>
      <c r="B251" s="16">
        <v>69900</v>
      </c>
      <c r="C251" s="16" t="s">
        <v>439</v>
      </c>
      <c r="D251" s="15" t="s">
        <v>194</v>
      </c>
      <c r="E251" s="17">
        <f t="shared" si="10"/>
        <v>0</v>
      </c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5">
        <v>6102004</v>
      </c>
      <c r="S251" s="15" t="s">
        <v>185</v>
      </c>
      <c r="T251" s="15" t="s">
        <v>193</v>
      </c>
      <c r="U251" s="15" t="s">
        <v>295</v>
      </c>
      <c r="V251" s="15" t="s">
        <v>185</v>
      </c>
      <c r="W251" s="15">
        <v>0</v>
      </c>
      <c r="X251" s="19">
        <v>6102004</v>
      </c>
    </row>
    <row r="252" spans="1:24" s="15" customFormat="1">
      <c r="A252" s="15" t="s">
        <v>44</v>
      </c>
      <c r="B252" s="16">
        <v>60000</v>
      </c>
      <c r="C252" s="16" t="s">
        <v>441</v>
      </c>
      <c r="D252" s="15" t="s">
        <v>235</v>
      </c>
      <c r="E252" s="17">
        <f t="shared" si="10"/>
        <v>-999.99999999999943</v>
      </c>
      <c r="F252" s="18">
        <v>-83.3333333333333</v>
      </c>
      <c r="G252" s="18">
        <v>-83.3333333333333</v>
      </c>
      <c r="H252" s="18">
        <v>-83.3333333333333</v>
      </c>
      <c r="I252" s="18">
        <v>-83.3333333333333</v>
      </c>
      <c r="J252" s="18">
        <v>-83.3333333333333</v>
      </c>
      <c r="K252" s="18">
        <v>-83.3333333333333</v>
      </c>
      <c r="L252" s="18">
        <v>-83.3333333333333</v>
      </c>
      <c r="M252" s="18">
        <v>-83.3333333333333</v>
      </c>
      <c r="N252" s="18">
        <v>-83.3333333333333</v>
      </c>
      <c r="O252" s="18">
        <v>-83.3333333333333</v>
      </c>
      <c r="P252" s="18">
        <v>-83.3333333333333</v>
      </c>
      <c r="Q252" s="18">
        <v>-83.3333333333333</v>
      </c>
      <c r="R252" s="15">
        <v>6011011</v>
      </c>
      <c r="S252" s="15" t="s">
        <v>287</v>
      </c>
      <c r="T252" s="15" t="s">
        <v>234</v>
      </c>
      <c r="U252" s="15" t="s">
        <v>237</v>
      </c>
      <c r="V252" s="15" t="s">
        <v>274</v>
      </c>
      <c r="W252" s="15">
        <v>0</v>
      </c>
      <c r="X252" s="19">
        <v>6011011</v>
      </c>
    </row>
    <row r="253" spans="1:24" s="15" customFormat="1">
      <c r="A253" s="15" t="s">
        <v>44</v>
      </c>
      <c r="B253" s="16">
        <v>60010</v>
      </c>
      <c r="C253" s="16" t="s">
        <v>442</v>
      </c>
      <c r="D253" s="15" t="s">
        <v>235</v>
      </c>
      <c r="E253" s="17">
        <f t="shared" si="10"/>
        <v>-36345</v>
      </c>
      <c r="F253" s="18">
        <v>-3028.75</v>
      </c>
      <c r="G253" s="18">
        <v>-3028.75</v>
      </c>
      <c r="H253" s="18">
        <v>-3028.75</v>
      </c>
      <c r="I253" s="18">
        <v>-3028.75</v>
      </c>
      <c r="J253" s="18">
        <v>-3028.75</v>
      </c>
      <c r="K253" s="18">
        <v>-3028.75</v>
      </c>
      <c r="L253" s="18">
        <v>-3028.75</v>
      </c>
      <c r="M253" s="18">
        <v>-3028.75</v>
      </c>
      <c r="N253" s="18">
        <v>-3028.75</v>
      </c>
      <c r="O253" s="18">
        <v>-3028.75</v>
      </c>
      <c r="P253" s="18">
        <v>-3028.75</v>
      </c>
      <c r="Q253" s="18">
        <v>-3028.75</v>
      </c>
      <c r="R253" s="15">
        <v>6012003</v>
      </c>
      <c r="S253" s="15" t="s">
        <v>275</v>
      </c>
      <c r="T253" s="15" t="s">
        <v>234</v>
      </c>
      <c r="U253" s="15" t="s">
        <v>276</v>
      </c>
      <c r="V253" s="15" t="s">
        <v>274</v>
      </c>
      <c r="W253" s="15">
        <v>0</v>
      </c>
      <c r="X253" s="19">
        <v>6012003</v>
      </c>
    </row>
    <row r="254" spans="1:24" s="15" customFormat="1">
      <c r="A254" s="15" t="s">
        <v>44</v>
      </c>
      <c r="B254" s="16">
        <v>60020</v>
      </c>
      <c r="C254" s="16" t="s">
        <v>443</v>
      </c>
      <c r="D254" s="15" t="s">
        <v>235</v>
      </c>
      <c r="E254" s="17">
        <f t="shared" si="10"/>
        <v>-55999.999999999978</v>
      </c>
      <c r="F254" s="18">
        <v>-4333.3333333333303</v>
      </c>
      <c r="G254" s="18">
        <v>0</v>
      </c>
      <c r="H254" s="18">
        <v>-4333.3333333333303</v>
      </c>
      <c r="I254" s="18">
        <v>-10000</v>
      </c>
      <c r="J254" s="18">
        <v>-4333.3333333333303</v>
      </c>
      <c r="K254" s="18">
        <v>0</v>
      </c>
      <c r="L254" s="18">
        <v>-4333.3333333333303</v>
      </c>
      <c r="M254" s="18">
        <v>0</v>
      </c>
      <c r="N254" s="18">
        <v>-20000</v>
      </c>
      <c r="O254" s="18">
        <v>-4333.3333333333303</v>
      </c>
      <c r="P254" s="18">
        <v>0</v>
      </c>
      <c r="Q254" s="18">
        <v>-4333.3333333333303</v>
      </c>
      <c r="R254" s="15">
        <v>6011009</v>
      </c>
      <c r="S254" s="15" t="s">
        <v>281</v>
      </c>
      <c r="T254" s="15" t="s">
        <v>234</v>
      </c>
      <c r="U254" s="15" t="s">
        <v>237</v>
      </c>
      <c r="V254" s="15" t="s">
        <v>274</v>
      </c>
      <c r="W254" s="15">
        <v>0</v>
      </c>
      <c r="X254" s="19">
        <v>6011009</v>
      </c>
    </row>
    <row r="255" spans="1:24" s="15" customFormat="1">
      <c r="A255" s="15" t="s">
        <v>44</v>
      </c>
      <c r="B255" s="16">
        <v>60025</v>
      </c>
      <c r="C255" s="16" t="s">
        <v>444</v>
      </c>
      <c r="D255" s="15" t="s">
        <v>235</v>
      </c>
      <c r="E255" s="17">
        <f t="shared" si="10"/>
        <v>-2600.0000000000041</v>
      </c>
      <c r="F255" s="18">
        <v>-216.666666666667</v>
      </c>
      <c r="G255" s="18">
        <v>-216.666666666667</v>
      </c>
      <c r="H255" s="18">
        <v>-216.666666666667</v>
      </c>
      <c r="I255" s="18">
        <v>-216.666666666667</v>
      </c>
      <c r="J255" s="18">
        <v>-216.666666666667</v>
      </c>
      <c r="K255" s="18">
        <v>-216.666666666667</v>
      </c>
      <c r="L255" s="18">
        <v>-216.666666666667</v>
      </c>
      <c r="M255" s="18">
        <v>-216.666666666667</v>
      </c>
      <c r="N255" s="18">
        <v>-216.666666666667</v>
      </c>
      <c r="O255" s="18">
        <v>-216.666666666667</v>
      </c>
      <c r="P255" s="18">
        <v>-216.666666666667</v>
      </c>
      <c r="Q255" s="18">
        <v>-216.666666666667</v>
      </c>
      <c r="R255" s="15">
        <v>6011003</v>
      </c>
      <c r="S255" s="15" t="s">
        <v>283</v>
      </c>
      <c r="T255" s="15" t="s">
        <v>234</v>
      </c>
      <c r="U255" s="15" t="s">
        <v>237</v>
      </c>
      <c r="V255" s="15" t="s">
        <v>274</v>
      </c>
      <c r="W255" s="15">
        <v>0</v>
      </c>
      <c r="X255" s="19">
        <v>6011003</v>
      </c>
    </row>
    <row r="256" spans="1:24" s="15" customFormat="1">
      <c r="A256" s="15" t="s">
        <v>44</v>
      </c>
      <c r="B256" s="16">
        <v>60400</v>
      </c>
      <c r="C256" s="16" t="s">
        <v>445</v>
      </c>
      <c r="D256" s="15" t="s">
        <v>194</v>
      </c>
      <c r="E256" s="17">
        <f t="shared" si="10"/>
        <v>0</v>
      </c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5">
        <v>6107001</v>
      </c>
      <c r="S256" s="15" t="s">
        <v>219</v>
      </c>
      <c r="T256" s="15" t="s">
        <v>193</v>
      </c>
      <c r="U256" s="15" t="s">
        <v>220</v>
      </c>
      <c r="V256" s="15" t="s">
        <v>214</v>
      </c>
      <c r="W256" s="15">
        <v>0</v>
      </c>
      <c r="X256" s="19">
        <v>6107001</v>
      </c>
    </row>
    <row r="257" spans="1:24" s="15" customFormat="1">
      <c r="A257" s="15" t="s">
        <v>44</v>
      </c>
      <c r="B257" s="16">
        <v>60401</v>
      </c>
      <c r="C257" s="16" t="s">
        <v>446</v>
      </c>
      <c r="D257" s="15" t="s">
        <v>194</v>
      </c>
      <c r="E257" s="17">
        <f t="shared" si="10"/>
        <v>-2400</v>
      </c>
      <c r="F257" s="18">
        <v>-200</v>
      </c>
      <c r="G257" s="18">
        <v>-200</v>
      </c>
      <c r="H257" s="18">
        <v>-200</v>
      </c>
      <c r="I257" s="18">
        <v>-200</v>
      </c>
      <c r="J257" s="18">
        <v>-200</v>
      </c>
      <c r="K257" s="18">
        <v>-200</v>
      </c>
      <c r="L257" s="18">
        <v>-200</v>
      </c>
      <c r="M257" s="18">
        <v>-200</v>
      </c>
      <c r="N257" s="18">
        <v>-200</v>
      </c>
      <c r="O257" s="18">
        <v>-200</v>
      </c>
      <c r="P257" s="18">
        <v>-200</v>
      </c>
      <c r="Q257" s="18">
        <v>-200</v>
      </c>
      <c r="R257" s="15">
        <v>6107003</v>
      </c>
      <c r="S257" s="15" t="s">
        <v>222</v>
      </c>
      <c r="T257" s="15" t="s">
        <v>193</v>
      </c>
      <c r="U257" s="15" t="s">
        <v>220</v>
      </c>
      <c r="V257" s="15" t="s">
        <v>214</v>
      </c>
      <c r="W257" s="15">
        <v>0</v>
      </c>
      <c r="X257" s="19">
        <v>6107003</v>
      </c>
    </row>
    <row r="258" spans="1:24" s="15" customFormat="1">
      <c r="A258" s="15" t="s">
        <v>44</v>
      </c>
      <c r="B258" s="16">
        <v>60402</v>
      </c>
      <c r="C258" s="16" t="s">
        <v>447</v>
      </c>
      <c r="D258" s="15" t="s">
        <v>194</v>
      </c>
      <c r="E258" s="17">
        <f t="shared" si="10"/>
        <v>0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5">
        <v>6107001</v>
      </c>
      <c r="S258" s="15" t="s">
        <v>219</v>
      </c>
      <c r="T258" s="15" t="s">
        <v>193</v>
      </c>
      <c r="U258" s="15" t="s">
        <v>220</v>
      </c>
      <c r="V258" s="15" t="s">
        <v>214</v>
      </c>
      <c r="W258" s="15">
        <v>0</v>
      </c>
      <c r="X258" s="19">
        <v>6107001</v>
      </c>
    </row>
    <row r="259" spans="1:24" s="15" customFormat="1">
      <c r="A259" s="15" t="s">
        <v>44</v>
      </c>
      <c r="B259" s="16">
        <v>60500</v>
      </c>
      <c r="C259" s="16" t="s">
        <v>448</v>
      </c>
      <c r="D259" s="15" t="s">
        <v>194</v>
      </c>
      <c r="E259" s="17">
        <f t="shared" si="10"/>
        <v>0</v>
      </c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5">
        <v>6103001</v>
      </c>
      <c r="S259" s="15" t="s">
        <v>449</v>
      </c>
      <c r="T259" s="15" t="s">
        <v>193</v>
      </c>
      <c r="U259" s="15" t="s">
        <v>196</v>
      </c>
      <c r="V259" s="15" t="s">
        <v>206</v>
      </c>
      <c r="W259" s="15">
        <v>0</v>
      </c>
      <c r="X259" s="19">
        <v>6103001</v>
      </c>
    </row>
    <row r="260" spans="1:24" s="15" customFormat="1">
      <c r="A260" s="15" t="s">
        <v>44</v>
      </c>
      <c r="B260" s="16">
        <v>60501</v>
      </c>
      <c r="C260" s="16" t="s">
        <v>450</v>
      </c>
      <c r="D260" s="15" t="s">
        <v>194</v>
      </c>
      <c r="E260" s="17">
        <f t="shared" si="10"/>
        <v>0</v>
      </c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5">
        <v>6103001</v>
      </c>
      <c r="S260" s="15" t="s">
        <v>449</v>
      </c>
      <c r="T260" s="15" t="s">
        <v>193</v>
      </c>
      <c r="U260" s="15" t="s">
        <v>196</v>
      </c>
      <c r="V260" s="15" t="s">
        <v>206</v>
      </c>
      <c r="W260" s="15">
        <v>0</v>
      </c>
      <c r="X260" s="19">
        <v>6103001</v>
      </c>
    </row>
    <row r="261" spans="1:24" s="15" customFormat="1">
      <c r="A261" s="15" t="s">
        <v>44</v>
      </c>
      <c r="B261" s="16">
        <v>61000</v>
      </c>
      <c r="C261" s="16" t="s">
        <v>451</v>
      </c>
      <c r="D261" s="15" t="s">
        <v>194</v>
      </c>
      <c r="E261" s="17">
        <f t="shared" si="10"/>
        <v>0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5">
        <v>6105001</v>
      </c>
      <c r="S261" s="15" t="s">
        <v>452</v>
      </c>
      <c r="T261" s="15" t="s">
        <v>193</v>
      </c>
      <c r="U261" s="15" t="s">
        <v>213</v>
      </c>
      <c r="V261" s="15" t="s">
        <v>214</v>
      </c>
      <c r="W261" s="15">
        <v>0</v>
      </c>
      <c r="X261" s="19">
        <v>6105001</v>
      </c>
    </row>
    <row r="262" spans="1:24" s="15" customFormat="1">
      <c r="A262" s="15" t="s">
        <v>44</v>
      </c>
      <c r="B262" s="16">
        <v>61700</v>
      </c>
      <c r="C262" s="16" t="s">
        <v>453</v>
      </c>
      <c r="D262" s="15" t="s">
        <v>194</v>
      </c>
      <c r="E262" s="17">
        <f t="shared" si="10"/>
        <v>0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5">
        <v>6081002</v>
      </c>
      <c r="S262" s="15" t="s">
        <v>454</v>
      </c>
      <c r="T262" s="15" t="s">
        <v>260</v>
      </c>
      <c r="U262" s="15" t="s">
        <v>303</v>
      </c>
      <c r="V262" s="15" t="s">
        <v>263</v>
      </c>
      <c r="W262" s="15">
        <v>0</v>
      </c>
      <c r="X262" s="19">
        <v>6081002</v>
      </c>
    </row>
    <row r="263" spans="1:24" s="15" customFormat="1">
      <c r="A263" s="15" t="s">
        <v>44</v>
      </c>
      <c r="B263" s="16">
        <v>61800</v>
      </c>
      <c r="C263" s="16" t="s">
        <v>455</v>
      </c>
      <c r="D263" s="15" t="s">
        <v>194</v>
      </c>
      <c r="E263" s="17">
        <f t="shared" si="10"/>
        <v>-4380</v>
      </c>
      <c r="F263" s="18">
        <v>-365</v>
      </c>
      <c r="G263" s="18">
        <v>-365</v>
      </c>
      <c r="H263" s="18">
        <v>-365</v>
      </c>
      <c r="I263" s="18">
        <v>-365</v>
      </c>
      <c r="J263" s="18">
        <v>-365</v>
      </c>
      <c r="K263" s="18">
        <v>-365</v>
      </c>
      <c r="L263" s="18">
        <v>-365</v>
      </c>
      <c r="M263" s="18">
        <v>-365</v>
      </c>
      <c r="N263" s="18">
        <v>-365</v>
      </c>
      <c r="O263" s="18">
        <v>-365</v>
      </c>
      <c r="P263" s="18">
        <v>-365</v>
      </c>
      <c r="Q263" s="18">
        <v>-365</v>
      </c>
      <c r="R263" s="15">
        <v>6084000</v>
      </c>
      <c r="S263" s="15" t="s">
        <v>261</v>
      </c>
      <c r="T263" s="15" t="s">
        <v>260</v>
      </c>
      <c r="U263" s="15" t="s">
        <v>262</v>
      </c>
      <c r="V263" s="15" t="s">
        <v>263</v>
      </c>
      <c r="W263" s="15">
        <v>0</v>
      </c>
      <c r="X263" s="19">
        <v>6084000</v>
      </c>
    </row>
    <row r="264" spans="1:24" s="15" customFormat="1">
      <c r="A264" s="15" t="s">
        <v>44</v>
      </c>
      <c r="B264" s="16">
        <v>62000</v>
      </c>
      <c r="C264" s="16" t="s">
        <v>456</v>
      </c>
      <c r="D264" s="15" t="s">
        <v>194</v>
      </c>
      <c r="E264" s="17">
        <f t="shared" si="10"/>
        <v>0</v>
      </c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5">
        <v>6108000</v>
      </c>
      <c r="S264" s="15" t="s">
        <v>239</v>
      </c>
      <c r="T264" s="15" t="s">
        <v>193</v>
      </c>
      <c r="U264" s="15" t="s">
        <v>239</v>
      </c>
      <c r="V264" s="15" t="s">
        <v>214</v>
      </c>
      <c r="W264" s="15">
        <v>0</v>
      </c>
      <c r="X264" s="19">
        <v>6108000</v>
      </c>
    </row>
    <row r="265" spans="1:24" s="15" customFormat="1">
      <c r="A265" s="15" t="s">
        <v>44</v>
      </c>
      <c r="B265" s="16">
        <v>62100</v>
      </c>
      <c r="C265" s="16" t="s">
        <v>457</v>
      </c>
      <c r="D265" s="15" t="s">
        <v>186</v>
      </c>
      <c r="E265" s="17">
        <f t="shared" si="10"/>
        <v>0</v>
      </c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5">
        <v>6029010</v>
      </c>
      <c r="S265" s="15" t="s">
        <v>355</v>
      </c>
      <c r="T265" s="15" t="s">
        <v>188</v>
      </c>
      <c r="U265" s="15" t="s">
        <v>337</v>
      </c>
      <c r="V265" s="15" t="s">
        <v>253</v>
      </c>
      <c r="W265" s="15">
        <v>0</v>
      </c>
      <c r="X265" s="19">
        <v>6029010</v>
      </c>
    </row>
    <row r="266" spans="1:24" s="15" customFormat="1">
      <c r="A266" s="15" t="s">
        <v>44</v>
      </c>
      <c r="B266" s="16">
        <v>62002</v>
      </c>
      <c r="C266" s="16" t="s">
        <v>458</v>
      </c>
      <c r="D266" s="15" t="s">
        <v>194</v>
      </c>
      <c r="E266" s="17">
        <f t="shared" si="10"/>
        <v>-7000</v>
      </c>
      <c r="F266" s="18"/>
      <c r="G266" s="18"/>
      <c r="H266" s="18"/>
      <c r="I266" s="18"/>
      <c r="J266" s="18">
        <v>-5000</v>
      </c>
      <c r="K266" s="18"/>
      <c r="L266" s="18"/>
      <c r="M266" s="18">
        <v>-2000</v>
      </c>
      <c r="N266" s="18"/>
      <c r="O266" s="18"/>
      <c r="P266" s="18"/>
      <c r="Q266" s="18"/>
      <c r="R266" s="15">
        <v>6052000</v>
      </c>
      <c r="S266" s="15" t="s">
        <v>216</v>
      </c>
      <c r="T266" s="15" t="s">
        <v>200</v>
      </c>
      <c r="U266" s="15" t="s">
        <v>216</v>
      </c>
      <c r="V266" s="15" t="s">
        <v>217</v>
      </c>
      <c r="W266" s="15">
        <v>0</v>
      </c>
      <c r="X266" s="19">
        <v>6052000</v>
      </c>
    </row>
    <row r="267" spans="1:24" s="15" customFormat="1">
      <c r="A267" s="15" t="s">
        <v>44</v>
      </c>
      <c r="B267" s="16">
        <v>62500</v>
      </c>
      <c r="C267" s="16" t="s">
        <v>459</v>
      </c>
      <c r="D267" s="15" t="s">
        <v>194</v>
      </c>
      <c r="E267" s="17">
        <f t="shared" si="10"/>
        <v>-6746.0317460317456</v>
      </c>
      <c r="F267" s="18"/>
      <c r="G267" s="18"/>
      <c r="H267" s="18"/>
      <c r="I267" s="18"/>
      <c r="J267" s="18"/>
      <c r="K267" s="18">
        <v>-1746.031746031746</v>
      </c>
      <c r="L267" s="18"/>
      <c r="M267" s="18"/>
      <c r="N267" s="18"/>
      <c r="O267" s="18"/>
      <c r="P267" s="18">
        <v>-5000</v>
      </c>
      <c r="Q267" s="18"/>
      <c r="R267" s="15">
        <v>6104001</v>
      </c>
      <c r="S267" s="15" t="s">
        <v>460</v>
      </c>
      <c r="T267" s="15" t="s">
        <v>193</v>
      </c>
      <c r="U267" s="15" t="s">
        <v>461</v>
      </c>
      <c r="V267" s="15" t="s">
        <v>214</v>
      </c>
      <c r="W267" s="15">
        <v>0</v>
      </c>
      <c r="X267" s="19">
        <v>6104001</v>
      </c>
    </row>
    <row r="268" spans="1:24" s="15" customFormat="1">
      <c r="A268" s="15" t="s">
        <v>44</v>
      </c>
      <c r="B268" s="16">
        <v>63300</v>
      </c>
      <c r="C268" s="16" t="s">
        <v>462</v>
      </c>
      <c r="D268" s="15" t="s">
        <v>194</v>
      </c>
      <c r="E268" s="17">
        <f t="shared" si="10"/>
        <v>0</v>
      </c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5">
        <v>6030010</v>
      </c>
      <c r="S268" s="15" t="s">
        <v>246</v>
      </c>
      <c r="T268" s="15" t="s">
        <v>241</v>
      </c>
      <c r="U268" s="15" t="s">
        <v>241</v>
      </c>
      <c r="V268" s="15" t="s">
        <v>241</v>
      </c>
      <c r="W268" s="15">
        <v>0</v>
      </c>
      <c r="X268" s="19">
        <v>6030010</v>
      </c>
    </row>
    <row r="269" spans="1:24" s="15" customFormat="1">
      <c r="A269" s="15" t="s">
        <v>44</v>
      </c>
      <c r="B269" s="16">
        <v>63310</v>
      </c>
      <c r="C269" s="16" t="s">
        <v>463</v>
      </c>
      <c r="D269" s="15" t="s">
        <v>194</v>
      </c>
      <c r="E269" s="17">
        <f t="shared" si="10"/>
        <v>-8400</v>
      </c>
      <c r="F269" s="18">
        <v>-700</v>
      </c>
      <c r="G269" s="18">
        <v>-700</v>
      </c>
      <c r="H269" s="18">
        <v>-700</v>
      </c>
      <c r="I269" s="18">
        <v>-700</v>
      </c>
      <c r="J269" s="18">
        <v>-700</v>
      </c>
      <c r="K269" s="18">
        <v>-700</v>
      </c>
      <c r="L269" s="18">
        <v>-700</v>
      </c>
      <c r="M269" s="18">
        <v>-700</v>
      </c>
      <c r="N269" s="18">
        <v>-700</v>
      </c>
      <c r="O269" s="18">
        <v>-700</v>
      </c>
      <c r="P269" s="18">
        <v>-700</v>
      </c>
      <c r="Q269" s="18">
        <v>-700</v>
      </c>
      <c r="R269" s="15">
        <v>6030004</v>
      </c>
      <c r="S269" s="15" t="s">
        <v>464</v>
      </c>
      <c r="T269" s="15" t="s">
        <v>241</v>
      </c>
      <c r="U269" s="15" t="s">
        <v>241</v>
      </c>
      <c r="V269" s="15" t="s">
        <v>241</v>
      </c>
      <c r="W269" s="15">
        <v>0</v>
      </c>
      <c r="X269" s="19">
        <v>6030004</v>
      </c>
    </row>
    <row r="270" spans="1:24" s="15" customFormat="1">
      <c r="A270" s="15" t="s">
        <v>44</v>
      </c>
      <c r="B270" s="16">
        <v>63320</v>
      </c>
      <c r="C270" s="16" t="s">
        <v>465</v>
      </c>
      <c r="D270" s="15" t="s">
        <v>194</v>
      </c>
      <c r="E270" s="17">
        <f t="shared" si="10"/>
        <v>-1920</v>
      </c>
      <c r="F270" s="18">
        <v>-160</v>
      </c>
      <c r="G270" s="18">
        <v>-160</v>
      </c>
      <c r="H270" s="18">
        <v>-160</v>
      </c>
      <c r="I270" s="18">
        <v>-160</v>
      </c>
      <c r="J270" s="18">
        <v>-160</v>
      </c>
      <c r="K270" s="18">
        <v>-160</v>
      </c>
      <c r="L270" s="18">
        <v>-160</v>
      </c>
      <c r="M270" s="18">
        <v>-160</v>
      </c>
      <c r="N270" s="18">
        <v>-160</v>
      </c>
      <c r="O270" s="18">
        <v>-160</v>
      </c>
      <c r="P270" s="18">
        <v>-160</v>
      </c>
      <c r="Q270" s="18">
        <v>-160</v>
      </c>
      <c r="R270" s="15">
        <v>6030005</v>
      </c>
      <c r="S270" s="15" t="s">
        <v>242</v>
      </c>
      <c r="T270" s="15" t="s">
        <v>241</v>
      </c>
      <c r="U270" s="15" t="s">
        <v>241</v>
      </c>
      <c r="V270" s="15" t="s">
        <v>241</v>
      </c>
      <c r="W270" s="15">
        <v>0</v>
      </c>
      <c r="X270" s="19">
        <v>6030005</v>
      </c>
    </row>
    <row r="271" spans="1:24" s="15" customFormat="1">
      <c r="A271" s="15" t="s">
        <v>44</v>
      </c>
      <c r="B271" s="16">
        <v>63360</v>
      </c>
      <c r="C271" s="16" t="s">
        <v>466</v>
      </c>
      <c r="D271" s="15" t="s">
        <v>194</v>
      </c>
      <c r="E271" s="17">
        <f t="shared" si="10"/>
        <v>-6600</v>
      </c>
      <c r="F271" s="18">
        <v>-550</v>
      </c>
      <c r="G271" s="18">
        <v>-550</v>
      </c>
      <c r="H271" s="18">
        <v>-550</v>
      </c>
      <c r="I271" s="18">
        <v>-550</v>
      </c>
      <c r="J271" s="18">
        <v>-550</v>
      </c>
      <c r="K271" s="18">
        <v>-550</v>
      </c>
      <c r="L271" s="18">
        <v>-550</v>
      </c>
      <c r="M271" s="18">
        <v>-550</v>
      </c>
      <c r="N271" s="18">
        <v>-550</v>
      </c>
      <c r="O271" s="18">
        <v>-550</v>
      </c>
      <c r="P271" s="18">
        <v>-550</v>
      </c>
      <c r="Q271" s="18">
        <v>-550</v>
      </c>
      <c r="R271" s="15">
        <v>6030010</v>
      </c>
      <c r="S271" s="15" t="s">
        <v>246</v>
      </c>
      <c r="T271" s="15" t="s">
        <v>241</v>
      </c>
      <c r="U271" s="15" t="s">
        <v>241</v>
      </c>
      <c r="V271" s="15" t="s">
        <v>253</v>
      </c>
      <c r="W271" s="15">
        <v>0</v>
      </c>
      <c r="X271" s="19">
        <v>6030010</v>
      </c>
    </row>
    <row r="272" spans="1:24" s="15" customFormat="1">
      <c r="A272" s="15" t="s">
        <v>44</v>
      </c>
      <c r="B272" s="16">
        <v>63370</v>
      </c>
      <c r="C272" s="16" t="s">
        <v>467</v>
      </c>
      <c r="D272" s="15" t="s">
        <v>194</v>
      </c>
      <c r="E272" s="17">
        <f t="shared" si="10"/>
        <v>-1320</v>
      </c>
      <c r="F272" s="18">
        <v>-110</v>
      </c>
      <c r="G272" s="18">
        <v>-110</v>
      </c>
      <c r="H272" s="18">
        <v>-110</v>
      </c>
      <c r="I272" s="18">
        <v>-110</v>
      </c>
      <c r="J272" s="18">
        <v>-110</v>
      </c>
      <c r="K272" s="18">
        <v>-110</v>
      </c>
      <c r="L272" s="18">
        <v>-110</v>
      </c>
      <c r="M272" s="18">
        <v>-110</v>
      </c>
      <c r="N272" s="18">
        <v>-110</v>
      </c>
      <c r="O272" s="18">
        <v>-110</v>
      </c>
      <c r="P272" s="18">
        <v>-110</v>
      </c>
      <c r="Q272" s="18">
        <v>-110</v>
      </c>
      <c r="R272" s="15">
        <v>6030008</v>
      </c>
      <c r="S272" s="15" t="s">
        <v>468</v>
      </c>
      <c r="T272" s="15" t="s">
        <v>241</v>
      </c>
      <c r="U272" s="15" t="s">
        <v>241</v>
      </c>
      <c r="V272" s="15" t="s">
        <v>241</v>
      </c>
      <c r="W272" s="15">
        <v>0</v>
      </c>
      <c r="X272" s="19">
        <v>6030008</v>
      </c>
    </row>
    <row r="273" spans="1:24" s="15" customFormat="1">
      <c r="A273" s="15" t="s">
        <v>44</v>
      </c>
      <c r="B273" s="16">
        <v>64500</v>
      </c>
      <c r="C273" s="16" t="s">
        <v>469</v>
      </c>
      <c r="D273" s="15" t="s">
        <v>194</v>
      </c>
      <c r="E273" s="17">
        <f t="shared" si="10"/>
        <v>0</v>
      </c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5">
        <v>6092003</v>
      </c>
      <c r="S273" s="15" t="s">
        <v>225</v>
      </c>
      <c r="T273" s="15" t="s">
        <v>224</v>
      </c>
      <c r="U273" s="15" t="s">
        <v>226</v>
      </c>
      <c r="V273" s="15" t="s">
        <v>226</v>
      </c>
      <c r="W273" s="15">
        <v>0</v>
      </c>
      <c r="X273" s="19">
        <v>6092003</v>
      </c>
    </row>
    <row r="274" spans="1:24" s="15" customFormat="1">
      <c r="A274" s="15" t="s">
        <v>44</v>
      </c>
      <c r="B274" s="16">
        <v>64510</v>
      </c>
      <c r="C274" s="16" t="s">
        <v>470</v>
      </c>
      <c r="D274" s="15" t="s">
        <v>194</v>
      </c>
      <c r="E274" s="17">
        <f t="shared" si="10"/>
        <v>-7200</v>
      </c>
      <c r="F274" s="18">
        <v>-600</v>
      </c>
      <c r="G274" s="18">
        <v>-600</v>
      </c>
      <c r="H274" s="18">
        <v>-600</v>
      </c>
      <c r="I274" s="18">
        <v>-600</v>
      </c>
      <c r="J274" s="18">
        <v>-600</v>
      </c>
      <c r="K274" s="18">
        <v>-600</v>
      </c>
      <c r="L274" s="18">
        <v>-600</v>
      </c>
      <c r="M274" s="18">
        <v>-600</v>
      </c>
      <c r="N274" s="18">
        <v>-600</v>
      </c>
      <c r="O274" s="18">
        <v>-600</v>
      </c>
      <c r="P274" s="18">
        <v>-600</v>
      </c>
      <c r="Q274" s="18">
        <v>-600</v>
      </c>
      <c r="R274" s="15">
        <v>6092003</v>
      </c>
      <c r="S274" s="15" t="s">
        <v>225</v>
      </c>
      <c r="T274" s="15" t="s">
        <v>224</v>
      </c>
      <c r="U274" s="15" t="s">
        <v>226</v>
      </c>
      <c r="V274" s="15" t="s">
        <v>226</v>
      </c>
      <c r="W274" s="15">
        <v>0</v>
      </c>
      <c r="X274" s="19">
        <v>6092003</v>
      </c>
    </row>
    <row r="275" spans="1:24" s="15" customFormat="1">
      <c r="A275" s="15" t="s">
        <v>44</v>
      </c>
      <c r="B275" s="16">
        <v>64520</v>
      </c>
      <c r="C275" s="16" t="s">
        <v>471</v>
      </c>
      <c r="D275" s="15" t="s">
        <v>194</v>
      </c>
      <c r="E275" s="17">
        <f t="shared" si="10"/>
        <v>-1800</v>
      </c>
      <c r="F275" s="18">
        <v>-150</v>
      </c>
      <c r="G275" s="18">
        <v>-150</v>
      </c>
      <c r="H275" s="18">
        <v>-150</v>
      </c>
      <c r="I275" s="18">
        <v>-150</v>
      </c>
      <c r="J275" s="18">
        <v>-150</v>
      </c>
      <c r="K275" s="18">
        <v>-150</v>
      </c>
      <c r="L275" s="18">
        <v>-150</v>
      </c>
      <c r="M275" s="18">
        <v>-150</v>
      </c>
      <c r="N275" s="18">
        <v>-150</v>
      </c>
      <c r="O275" s="18">
        <v>-150</v>
      </c>
      <c r="P275" s="18">
        <v>-150</v>
      </c>
      <c r="Q275" s="18">
        <v>-150</v>
      </c>
      <c r="R275" s="15">
        <v>6092004</v>
      </c>
      <c r="S275" s="15" t="s">
        <v>229</v>
      </c>
      <c r="T275" s="15" t="s">
        <v>224</v>
      </c>
      <c r="U275" s="15" t="s">
        <v>226</v>
      </c>
      <c r="V275" s="15" t="s">
        <v>226</v>
      </c>
      <c r="W275" s="15">
        <v>0</v>
      </c>
      <c r="X275" s="19">
        <v>6092004</v>
      </c>
    </row>
    <row r="276" spans="1:24" s="15" customFormat="1">
      <c r="A276" s="15" t="s">
        <v>44</v>
      </c>
      <c r="B276" s="16">
        <v>64700</v>
      </c>
      <c r="C276" s="16" t="s">
        <v>472</v>
      </c>
      <c r="D276" s="15" t="s">
        <v>194</v>
      </c>
      <c r="E276" s="17">
        <f t="shared" si="10"/>
        <v>0</v>
      </c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5">
        <v>6101006</v>
      </c>
      <c r="S276" s="15" t="s">
        <v>473</v>
      </c>
      <c r="T276" s="15" t="s">
        <v>193</v>
      </c>
      <c r="U276" s="15" t="s">
        <v>321</v>
      </c>
      <c r="V276" s="15" t="s">
        <v>214</v>
      </c>
      <c r="W276" s="15">
        <v>0</v>
      </c>
      <c r="X276" s="19">
        <v>6101006</v>
      </c>
    </row>
    <row r="277" spans="1:24" s="15" customFormat="1">
      <c r="A277" s="15" t="s">
        <v>44</v>
      </c>
      <c r="B277" s="16">
        <v>66700</v>
      </c>
      <c r="C277" s="16" t="s">
        <v>474</v>
      </c>
      <c r="D277" s="15" t="s">
        <v>194</v>
      </c>
      <c r="E277" s="17">
        <f t="shared" si="10"/>
        <v>-11300</v>
      </c>
      <c r="F277" s="18"/>
      <c r="G277" s="18"/>
      <c r="H277" s="18">
        <v>-1500</v>
      </c>
      <c r="I277" s="18"/>
      <c r="J277" s="18"/>
      <c r="K277" s="18">
        <v>-6000</v>
      </c>
      <c r="L277" s="18"/>
      <c r="M277" s="18">
        <v>-160</v>
      </c>
      <c r="N277" s="18">
        <v>-1660</v>
      </c>
      <c r="O277" s="18">
        <v>-160</v>
      </c>
      <c r="P277" s="18">
        <v>-160</v>
      </c>
      <c r="Q277" s="18">
        <v>-1660</v>
      </c>
      <c r="R277" s="15">
        <v>6054003</v>
      </c>
      <c r="S277" s="15" t="s">
        <v>344</v>
      </c>
      <c r="T277" s="15" t="s">
        <v>200</v>
      </c>
      <c r="U277" s="15" t="s">
        <v>209</v>
      </c>
      <c r="V277" s="15" t="s">
        <v>210</v>
      </c>
      <c r="W277" s="15">
        <v>0</v>
      </c>
      <c r="X277" s="19">
        <v>6054003</v>
      </c>
    </row>
    <row r="278" spans="1:24" s="15" customFormat="1">
      <c r="A278" s="15" t="s">
        <v>44</v>
      </c>
      <c r="B278" s="16">
        <v>66800</v>
      </c>
      <c r="C278" s="16" t="s">
        <v>475</v>
      </c>
      <c r="D278" s="15" t="s">
        <v>186</v>
      </c>
      <c r="E278" s="17">
        <f t="shared" si="10"/>
        <v>0</v>
      </c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5">
        <v>6021001</v>
      </c>
      <c r="S278" s="15" t="s">
        <v>187</v>
      </c>
      <c r="T278" s="15" t="s">
        <v>188</v>
      </c>
      <c r="U278" s="15" t="s">
        <v>189</v>
      </c>
      <c r="V278" s="15" t="s">
        <v>348</v>
      </c>
      <c r="W278" s="15">
        <v>0</v>
      </c>
      <c r="X278" s="19">
        <v>6021001</v>
      </c>
    </row>
    <row r="279" spans="1:24" s="15" customFormat="1">
      <c r="A279" s="15" t="s">
        <v>44</v>
      </c>
      <c r="B279" s="34">
        <v>66801</v>
      </c>
      <c r="C279" s="34" t="s">
        <v>476</v>
      </c>
      <c r="D279" s="15" t="s">
        <v>186</v>
      </c>
      <c r="E279" s="17">
        <f t="shared" si="10"/>
        <v>-444158.35210814304</v>
      </c>
      <c r="F279" s="18">
        <v>-37013.19600901191</v>
      </c>
      <c r="G279" s="18">
        <v>-37013.19600901191</v>
      </c>
      <c r="H279" s="18">
        <v>-37013.19600901191</v>
      </c>
      <c r="I279" s="18">
        <v>-37013.19600901191</v>
      </c>
      <c r="J279" s="18">
        <v>-37013.19600901191</v>
      </c>
      <c r="K279" s="18">
        <v>-37013.19600901191</v>
      </c>
      <c r="L279" s="18">
        <v>-37013.19600901191</v>
      </c>
      <c r="M279" s="18">
        <v>-37013.19600901191</v>
      </c>
      <c r="N279" s="18">
        <v>-37013.19600901191</v>
      </c>
      <c r="O279" s="18">
        <v>-37013.19600901191</v>
      </c>
      <c r="P279" s="18">
        <v>-37013.19600901191</v>
      </c>
      <c r="Q279" s="18">
        <v>-37013.19600901191</v>
      </c>
      <c r="R279" s="15">
        <v>6021001</v>
      </c>
      <c r="S279" s="15" t="s">
        <v>187</v>
      </c>
      <c r="T279" s="15" t="s">
        <v>188</v>
      </c>
      <c r="U279" s="15" t="s">
        <v>189</v>
      </c>
      <c r="V279" s="15" t="s">
        <v>348</v>
      </c>
      <c r="W279" s="15">
        <v>0</v>
      </c>
      <c r="X279" s="19">
        <v>6021001</v>
      </c>
    </row>
    <row r="280" spans="1:24" s="15" customFormat="1">
      <c r="A280" s="15" t="s">
        <v>44</v>
      </c>
      <c r="B280" s="16">
        <v>66802</v>
      </c>
      <c r="C280" s="16" t="s">
        <v>477</v>
      </c>
      <c r="D280" s="15" t="s">
        <v>186</v>
      </c>
      <c r="E280" s="17">
        <f t="shared" si="10"/>
        <v>0</v>
      </c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5">
        <v>6023001</v>
      </c>
      <c r="S280" s="15" t="s">
        <v>187</v>
      </c>
      <c r="T280" s="15" t="s">
        <v>188</v>
      </c>
      <c r="U280" s="15" t="s">
        <v>189</v>
      </c>
      <c r="X280" s="19"/>
    </row>
    <row r="281" spans="1:24" s="15" customFormat="1">
      <c r="A281" s="15" t="s">
        <v>44</v>
      </c>
      <c r="B281" s="16">
        <v>66806</v>
      </c>
      <c r="C281" s="16" t="s">
        <v>478</v>
      </c>
      <c r="D281" s="15" t="s">
        <v>186</v>
      </c>
      <c r="E281" s="17">
        <f t="shared" si="10"/>
        <v>-77715.489662311811</v>
      </c>
      <c r="F281" s="18">
        <v>-6476.2908051926515</v>
      </c>
      <c r="G281" s="18">
        <v>-6476.2908051926515</v>
      </c>
      <c r="H281" s="18">
        <v>-6476.2908051926515</v>
      </c>
      <c r="I281" s="18">
        <v>-6476.2908051926515</v>
      </c>
      <c r="J281" s="18">
        <v>-6476.2908051926515</v>
      </c>
      <c r="K281" s="18">
        <v>-6476.2908051926515</v>
      </c>
      <c r="L281" s="18">
        <v>-6476.2908051926515</v>
      </c>
      <c r="M281" s="18">
        <v>-6476.2908051926515</v>
      </c>
      <c r="N281" s="18">
        <v>-6476.2908051926515</v>
      </c>
      <c r="O281" s="18">
        <v>-6476.2908051926515</v>
      </c>
      <c r="P281" s="18">
        <v>-6476.2908051926515</v>
      </c>
      <c r="Q281" s="18">
        <v>-6476.2908051926515</v>
      </c>
      <c r="R281" s="15">
        <v>6021003</v>
      </c>
      <c r="S281" s="15" t="s">
        <v>375</v>
      </c>
      <c r="T281" s="15" t="s">
        <v>188</v>
      </c>
      <c r="U281" s="15" t="s">
        <v>189</v>
      </c>
      <c r="V281" s="15" t="s">
        <v>348</v>
      </c>
      <c r="W281" s="15">
        <v>0</v>
      </c>
      <c r="X281" s="19">
        <v>6021003</v>
      </c>
    </row>
    <row r="282" spans="1:24" s="15" customFormat="1">
      <c r="A282" s="15" t="s">
        <v>44</v>
      </c>
      <c r="B282" s="16">
        <v>66820</v>
      </c>
      <c r="C282" s="16" t="s">
        <v>479</v>
      </c>
      <c r="D282" s="15" t="s">
        <v>186</v>
      </c>
      <c r="E282" s="17">
        <f t="shared" si="10"/>
        <v>0</v>
      </c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5">
        <v>6027009</v>
      </c>
      <c r="S282" s="15" t="s">
        <v>480</v>
      </c>
      <c r="T282" s="15" t="s">
        <v>188</v>
      </c>
      <c r="U282" s="15" t="s">
        <v>409</v>
      </c>
      <c r="V282" s="15" t="s">
        <v>253</v>
      </c>
      <c r="W282" s="15">
        <v>0</v>
      </c>
      <c r="X282" s="19">
        <v>6027009</v>
      </c>
    </row>
    <row r="283" spans="1:24" s="15" customFormat="1">
      <c r="A283" s="15" t="s">
        <v>44</v>
      </c>
      <c r="B283" s="16">
        <v>66827</v>
      </c>
      <c r="C283" s="16" t="s">
        <v>481</v>
      </c>
      <c r="D283" s="15" t="s">
        <v>186</v>
      </c>
      <c r="E283" s="17">
        <f t="shared" si="10"/>
        <v>0</v>
      </c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5">
        <v>6027009</v>
      </c>
      <c r="S283" s="15" t="s">
        <v>480</v>
      </c>
      <c r="T283" s="15" t="s">
        <v>188</v>
      </c>
      <c r="U283" s="15" t="s">
        <v>409</v>
      </c>
      <c r="V283" s="15" t="s">
        <v>253</v>
      </c>
      <c r="W283" s="15">
        <v>0</v>
      </c>
      <c r="X283" s="19">
        <v>6027009</v>
      </c>
    </row>
    <row r="284" spans="1:24" s="15" customFormat="1">
      <c r="A284" s="15" t="s">
        <v>44</v>
      </c>
      <c r="B284" s="16">
        <v>66840</v>
      </c>
      <c r="C284" s="16" t="s">
        <v>482</v>
      </c>
      <c r="D284" s="15" t="s">
        <v>186</v>
      </c>
      <c r="E284" s="17">
        <f t="shared" si="10"/>
        <v>-46636.626971354999</v>
      </c>
      <c r="F284" s="18">
        <v>-3886.3855809462502</v>
      </c>
      <c r="G284" s="18">
        <v>-3886.3855809462502</v>
      </c>
      <c r="H284" s="18">
        <v>-3886.3855809462502</v>
      </c>
      <c r="I284" s="18">
        <v>-3886.3855809462502</v>
      </c>
      <c r="J284" s="18">
        <v>-3886.3855809462502</v>
      </c>
      <c r="K284" s="18">
        <v>-3886.3855809462502</v>
      </c>
      <c r="L284" s="18">
        <v>-3886.3855809462502</v>
      </c>
      <c r="M284" s="18">
        <v>-3886.3855809462502</v>
      </c>
      <c r="N284" s="18">
        <v>-3886.3855809462502</v>
      </c>
      <c r="O284" s="18">
        <v>-3886.3855809462502</v>
      </c>
      <c r="P284" s="18">
        <v>-3886.3855809462502</v>
      </c>
      <c r="Q284" s="18">
        <v>-3886.3855809462502</v>
      </c>
      <c r="R284" s="15">
        <v>6027009</v>
      </c>
      <c r="S284" s="15" t="s">
        <v>480</v>
      </c>
      <c r="T284" s="15" t="s">
        <v>188</v>
      </c>
      <c r="U284" s="15" t="s">
        <v>409</v>
      </c>
      <c r="V284" s="15" t="s">
        <v>253</v>
      </c>
      <c r="W284" s="15">
        <v>0</v>
      </c>
      <c r="X284" s="19">
        <v>6027009</v>
      </c>
    </row>
    <row r="285" spans="1:24" s="15" customFormat="1">
      <c r="A285" s="15" t="s">
        <v>44</v>
      </c>
      <c r="B285" s="16">
        <v>66850</v>
      </c>
      <c r="C285" s="16" t="s">
        <v>483</v>
      </c>
      <c r="D285" s="15" t="s">
        <v>186</v>
      </c>
      <c r="E285" s="17">
        <f t="shared" si="10"/>
        <v>-43200</v>
      </c>
      <c r="F285" s="18">
        <v>-3600</v>
      </c>
      <c r="G285" s="18">
        <v>-3600</v>
      </c>
      <c r="H285" s="18">
        <v>-3600</v>
      </c>
      <c r="I285" s="18">
        <v>-3600</v>
      </c>
      <c r="J285" s="18">
        <v>-3600</v>
      </c>
      <c r="K285" s="18">
        <v>-3600</v>
      </c>
      <c r="L285" s="18">
        <v>-3600</v>
      </c>
      <c r="M285" s="18">
        <v>-3600</v>
      </c>
      <c r="N285" s="18">
        <v>-3600</v>
      </c>
      <c r="O285" s="18">
        <v>-3600</v>
      </c>
      <c r="P285" s="18">
        <v>-3600</v>
      </c>
      <c r="Q285" s="18">
        <v>-3600</v>
      </c>
      <c r="R285" s="15">
        <v>6029003</v>
      </c>
      <c r="S285" s="15" t="s">
        <v>484</v>
      </c>
      <c r="T285" s="15" t="s">
        <v>188</v>
      </c>
      <c r="U285" s="15" t="s">
        <v>337</v>
      </c>
      <c r="V285" s="15" t="s">
        <v>253</v>
      </c>
      <c r="W285" s="15">
        <v>0</v>
      </c>
      <c r="X285" s="19">
        <v>6029003</v>
      </c>
    </row>
    <row r="286" spans="1:24" s="15" customFormat="1">
      <c r="A286" s="15" t="s">
        <v>44</v>
      </c>
      <c r="B286" s="16">
        <v>66860</v>
      </c>
      <c r="C286" s="16" t="s">
        <v>485</v>
      </c>
      <c r="D286" s="15" t="s">
        <v>186</v>
      </c>
      <c r="E286" s="17">
        <f t="shared" si="10"/>
        <v>0</v>
      </c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5">
        <v>6024001</v>
      </c>
      <c r="S286" s="15" t="s">
        <v>361</v>
      </c>
      <c r="T286" s="15" t="s">
        <v>188</v>
      </c>
      <c r="U286" s="15" t="s">
        <v>362</v>
      </c>
      <c r="V286" s="15" t="s">
        <v>253</v>
      </c>
      <c r="W286" s="15">
        <v>0</v>
      </c>
      <c r="X286" s="19">
        <v>6024001</v>
      </c>
    </row>
    <row r="287" spans="1:24" s="15" customFormat="1">
      <c r="A287" s="15" t="s">
        <v>44</v>
      </c>
      <c r="B287" s="16">
        <v>66880</v>
      </c>
      <c r="C287" s="16" t="s">
        <v>486</v>
      </c>
      <c r="D287" s="15" t="s">
        <v>186</v>
      </c>
      <c r="E287" s="17">
        <f t="shared" si="10"/>
        <v>-1600</v>
      </c>
      <c r="F287" s="18"/>
      <c r="G287" s="18"/>
      <c r="H287" s="18">
        <v>-200</v>
      </c>
      <c r="I287" s="18"/>
      <c r="J287" s="18"/>
      <c r="K287" s="18">
        <v>-1000</v>
      </c>
      <c r="L287" s="18"/>
      <c r="M287" s="18"/>
      <c r="N287" s="18">
        <v>-200</v>
      </c>
      <c r="O287" s="18"/>
      <c r="P287" s="18"/>
      <c r="Q287" s="18">
        <v>-200</v>
      </c>
      <c r="R287" s="15">
        <v>6029001</v>
      </c>
      <c r="S287" s="15" t="s">
        <v>351</v>
      </c>
      <c r="T287" s="15" t="s">
        <v>188</v>
      </c>
      <c r="U287" s="15" t="s">
        <v>337</v>
      </c>
      <c r="V287" s="15" t="s">
        <v>253</v>
      </c>
      <c r="W287" s="15">
        <v>0</v>
      </c>
      <c r="X287" s="19">
        <v>6029001</v>
      </c>
    </row>
    <row r="288" spans="1:24" s="15" customFormat="1">
      <c r="A288" s="15" t="s">
        <v>44</v>
      </c>
      <c r="B288" s="16">
        <v>66899</v>
      </c>
      <c r="C288" s="16" t="s">
        <v>487</v>
      </c>
      <c r="D288" s="15" t="s">
        <v>186</v>
      </c>
      <c r="E288" s="17">
        <f t="shared" si="10"/>
        <v>0</v>
      </c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5">
        <v>6021001</v>
      </c>
      <c r="S288" s="15" t="s">
        <v>187</v>
      </c>
      <c r="T288" s="15" t="s">
        <v>188</v>
      </c>
      <c r="U288" s="15" t="s">
        <v>189</v>
      </c>
      <c r="V288" s="15" t="s">
        <v>253</v>
      </c>
      <c r="W288" s="15">
        <v>0</v>
      </c>
      <c r="X288" s="19">
        <v>6021001</v>
      </c>
    </row>
    <row r="289" spans="1:24" s="15" customFormat="1">
      <c r="A289" s="15" t="s">
        <v>44</v>
      </c>
      <c r="B289" s="16">
        <v>67100</v>
      </c>
      <c r="C289" s="16" t="s">
        <v>488</v>
      </c>
      <c r="D289" s="15" t="s">
        <v>194</v>
      </c>
      <c r="E289" s="17">
        <f t="shared" si="10"/>
        <v>0</v>
      </c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5">
        <v>6101006</v>
      </c>
      <c r="S289" s="15" t="s">
        <v>473</v>
      </c>
      <c r="T289" s="15" t="s">
        <v>193</v>
      </c>
      <c r="U289" s="15" t="s">
        <v>321</v>
      </c>
      <c r="V289" s="15" t="s">
        <v>214</v>
      </c>
      <c r="W289" s="15">
        <v>0</v>
      </c>
      <c r="X289" s="19">
        <v>6101006</v>
      </c>
    </row>
    <row r="290" spans="1:24" s="15" customFormat="1">
      <c r="A290" s="15" t="s">
        <v>44</v>
      </c>
      <c r="B290" s="16">
        <v>67105</v>
      </c>
      <c r="C290" s="16" t="s">
        <v>489</v>
      </c>
      <c r="D290" s="15" t="s">
        <v>194</v>
      </c>
      <c r="E290" s="17">
        <f t="shared" si="10"/>
        <v>-4440</v>
      </c>
      <c r="F290" s="18">
        <v>-370</v>
      </c>
      <c r="G290" s="18">
        <v>-370</v>
      </c>
      <c r="H290" s="18">
        <v>-370</v>
      </c>
      <c r="I290" s="18">
        <v>-370</v>
      </c>
      <c r="J290" s="18">
        <v>-370</v>
      </c>
      <c r="K290" s="18">
        <v>-370</v>
      </c>
      <c r="L290" s="18">
        <v>-370</v>
      </c>
      <c r="M290" s="18">
        <v>-370</v>
      </c>
      <c r="N290" s="18">
        <v>-370</v>
      </c>
      <c r="O290" s="18">
        <v>-370</v>
      </c>
      <c r="P290" s="18">
        <v>-370</v>
      </c>
      <c r="Q290" s="18">
        <v>-370</v>
      </c>
      <c r="R290" s="15">
        <v>6042004</v>
      </c>
      <c r="S290" s="15" t="s">
        <v>306</v>
      </c>
      <c r="T290" s="15" t="s">
        <v>193</v>
      </c>
      <c r="U290" s="15" t="s">
        <v>307</v>
      </c>
      <c r="V290" s="15" t="s">
        <v>305</v>
      </c>
      <c r="W290" s="15">
        <v>0</v>
      </c>
      <c r="X290" s="19">
        <v>6042004</v>
      </c>
    </row>
    <row r="291" spans="1:24" s="15" customFormat="1">
      <c r="A291" s="15" t="s">
        <v>44</v>
      </c>
      <c r="B291" s="16">
        <v>67110</v>
      </c>
      <c r="C291" s="16" t="s">
        <v>490</v>
      </c>
      <c r="D291" s="15" t="s">
        <v>194</v>
      </c>
      <c r="E291" s="17">
        <f t="shared" si="10"/>
        <v>-600</v>
      </c>
      <c r="F291" s="18">
        <v>-50</v>
      </c>
      <c r="G291" s="18">
        <v>-50</v>
      </c>
      <c r="H291" s="18">
        <v>-50</v>
      </c>
      <c r="I291" s="18">
        <v>-50</v>
      </c>
      <c r="J291" s="18">
        <v>-50</v>
      </c>
      <c r="K291" s="18">
        <v>-50</v>
      </c>
      <c r="L291" s="18">
        <v>-50</v>
      </c>
      <c r="M291" s="18">
        <v>-50</v>
      </c>
      <c r="N291" s="18">
        <v>-50</v>
      </c>
      <c r="O291" s="18">
        <v>-50</v>
      </c>
      <c r="P291" s="18">
        <v>-50</v>
      </c>
      <c r="Q291" s="18">
        <v>-50</v>
      </c>
      <c r="R291" s="15">
        <v>6101005</v>
      </c>
      <c r="S291" s="15" t="s">
        <v>320</v>
      </c>
      <c r="T291" s="15" t="s">
        <v>193</v>
      </c>
      <c r="U291" s="15" t="s">
        <v>321</v>
      </c>
      <c r="V291" s="15" t="s">
        <v>214</v>
      </c>
      <c r="W291" s="15">
        <v>0</v>
      </c>
      <c r="X291" s="19">
        <v>6101005</v>
      </c>
    </row>
    <row r="292" spans="1:24" s="15" customFormat="1">
      <c r="A292" s="15" t="s">
        <v>44</v>
      </c>
      <c r="B292" s="16">
        <v>67120</v>
      </c>
      <c r="C292" s="16" t="s">
        <v>491</v>
      </c>
      <c r="D292" s="15" t="s">
        <v>194</v>
      </c>
      <c r="E292" s="17">
        <f t="shared" ref="E292:E297" si="11">SUM(F292:Q292)</f>
        <v>-1200</v>
      </c>
      <c r="F292" s="18">
        <v>-100</v>
      </c>
      <c r="G292" s="18">
        <v>-100</v>
      </c>
      <c r="H292" s="18">
        <v>-100</v>
      </c>
      <c r="I292" s="18">
        <v>-100</v>
      </c>
      <c r="J292" s="18">
        <v>-100</v>
      </c>
      <c r="K292" s="18">
        <v>-100</v>
      </c>
      <c r="L292" s="18">
        <v>-100</v>
      </c>
      <c r="M292" s="18">
        <v>-100</v>
      </c>
      <c r="N292" s="18">
        <v>-100</v>
      </c>
      <c r="O292" s="18">
        <v>-100</v>
      </c>
      <c r="P292" s="18">
        <v>-100</v>
      </c>
      <c r="Q292" s="18">
        <v>-100</v>
      </c>
      <c r="R292" s="15">
        <v>6101004</v>
      </c>
      <c r="S292" s="15" t="s">
        <v>334</v>
      </c>
      <c r="T292" s="15" t="s">
        <v>193</v>
      </c>
      <c r="U292" s="15" t="s">
        <v>321</v>
      </c>
      <c r="V292" s="15" t="s">
        <v>214</v>
      </c>
      <c r="W292" s="15">
        <v>0</v>
      </c>
      <c r="X292" s="19">
        <v>6101004</v>
      </c>
    </row>
    <row r="293" spans="1:24" s="15" customFormat="1">
      <c r="A293" s="15" t="s">
        <v>44</v>
      </c>
      <c r="B293" s="16">
        <v>67500</v>
      </c>
      <c r="C293" s="16" t="s">
        <v>492</v>
      </c>
      <c r="D293" s="15" t="s">
        <v>194</v>
      </c>
      <c r="E293" s="17">
        <f t="shared" si="11"/>
        <v>-6600</v>
      </c>
      <c r="F293" s="18">
        <v>-550</v>
      </c>
      <c r="G293" s="18">
        <v>-550</v>
      </c>
      <c r="H293" s="18">
        <v>-550</v>
      </c>
      <c r="I293" s="18">
        <v>-550</v>
      </c>
      <c r="J293" s="18">
        <v>-550</v>
      </c>
      <c r="K293" s="18">
        <v>-550</v>
      </c>
      <c r="L293" s="18">
        <v>-550</v>
      </c>
      <c r="M293" s="18">
        <v>-550</v>
      </c>
      <c r="N293" s="18">
        <v>-550</v>
      </c>
      <c r="O293" s="18">
        <v>-550</v>
      </c>
      <c r="P293" s="18">
        <v>-550</v>
      </c>
      <c r="Q293" s="18">
        <v>-550</v>
      </c>
      <c r="R293" s="15">
        <v>6081002</v>
      </c>
      <c r="S293" s="15" t="s">
        <v>454</v>
      </c>
      <c r="T293" s="15" t="s">
        <v>260</v>
      </c>
      <c r="U293" s="15" t="s">
        <v>303</v>
      </c>
      <c r="V293" s="15" t="s">
        <v>301</v>
      </c>
      <c r="W293" s="15">
        <v>0</v>
      </c>
      <c r="X293" s="19">
        <v>6081002</v>
      </c>
    </row>
    <row r="294" spans="1:24" s="15" customFormat="1">
      <c r="A294" s="15" t="s">
        <v>44</v>
      </c>
      <c r="B294" s="16">
        <v>68200</v>
      </c>
      <c r="C294" s="16" t="s">
        <v>493</v>
      </c>
      <c r="D294" s="15" t="s">
        <v>194</v>
      </c>
      <c r="E294" s="17">
        <f t="shared" si="11"/>
        <v>-18000</v>
      </c>
      <c r="F294" s="18">
        <v>-1500</v>
      </c>
      <c r="G294" s="18">
        <v>-1500</v>
      </c>
      <c r="H294" s="18">
        <v>-1500</v>
      </c>
      <c r="I294" s="18">
        <v>-1500</v>
      </c>
      <c r="J294" s="18">
        <v>-1500</v>
      </c>
      <c r="K294" s="18">
        <v>-1500</v>
      </c>
      <c r="L294" s="18">
        <v>-1500</v>
      </c>
      <c r="M294" s="18">
        <v>-1500</v>
      </c>
      <c r="N294" s="18">
        <v>-1500</v>
      </c>
      <c r="O294" s="18">
        <v>-1500</v>
      </c>
      <c r="P294" s="18">
        <v>-1500</v>
      </c>
      <c r="Q294" s="18">
        <v>-1500</v>
      </c>
      <c r="R294" s="15">
        <v>6042010</v>
      </c>
      <c r="S294" s="15" t="s">
        <v>494</v>
      </c>
      <c r="T294" s="15" t="s">
        <v>193</v>
      </c>
      <c r="U294" s="15" t="s">
        <v>307</v>
      </c>
      <c r="V294" s="15" t="s">
        <v>305</v>
      </c>
      <c r="W294" s="15">
        <v>0</v>
      </c>
      <c r="X294" s="19">
        <v>6042010</v>
      </c>
    </row>
    <row r="295" spans="1:24" s="15" customFormat="1">
      <c r="A295" s="15" t="s">
        <v>44</v>
      </c>
      <c r="B295" s="16">
        <v>68400</v>
      </c>
      <c r="C295" s="16" t="s">
        <v>495</v>
      </c>
      <c r="D295" s="15" t="s">
        <v>194</v>
      </c>
      <c r="E295" s="17">
        <f t="shared" si="11"/>
        <v>-108000</v>
      </c>
      <c r="F295" s="18">
        <v>-9000</v>
      </c>
      <c r="G295" s="18">
        <v>-9000</v>
      </c>
      <c r="H295" s="18">
        <v>-9000</v>
      </c>
      <c r="I295" s="18">
        <v>-9000</v>
      </c>
      <c r="J295" s="18">
        <v>-9000</v>
      </c>
      <c r="K295" s="18">
        <v>-9000</v>
      </c>
      <c r="L295" s="18">
        <v>-9000</v>
      </c>
      <c r="M295" s="18">
        <v>-9000</v>
      </c>
      <c r="N295" s="18">
        <v>-9000</v>
      </c>
      <c r="O295" s="18">
        <v>-9000</v>
      </c>
      <c r="P295" s="18">
        <v>-9000</v>
      </c>
      <c r="Q295" s="18">
        <v>-9000</v>
      </c>
      <c r="R295" s="15">
        <v>6091013</v>
      </c>
      <c r="S295" s="15" t="s">
        <v>496</v>
      </c>
      <c r="T295" s="15" t="s">
        <v>224</v>
      </c>
      <c r="U295" s="15" t="s">
        <v>425</v>
      </c>
      <c r="V295" s="15" t="s">
        <v>289</v>
      </c>
      <c r="W295" s="15">
        <v>0</v>
      </c>
      <c r="X295" s="19">
        <v>6091013</v>
      </c>
    </row>
    <row r="296" spans="1:24" s="15" customFormat="1">
      <c r="A296" s="15" t="s">
        <v>44</v>
      </c>
      <c r="B296" s="16">
        <v>68405</v>
      </c>
      <c r="C296" s="16" t="s">
        <v>497</v>
      </c>
      <c r="D296" s="15" t="s">
        <v>194</v>
      </c>
      <c r="E296" s="17">
        <f t="shared" si="11"/>
        <v>0</v>
      </c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5">
        <v>6091013</v>
      </c>
      <c r="S296" s="15" t="s">
        <v>496</v>
      </c>
      <c r="T296" s="15" t="s">
        <v>224</v>
      </c>
      <c r="U296" s="15" t="s">
        <v>425</v>
      </c>
      <c r="V296" s="15" t="s">
        <v>289</v>
      </c>
      <c r="W296" s="15">
        <v>0</v>
      </c>
      <c r="X296" s="19">
        <v>6091013</v>
      </c>
    </row>
    <row r="297" spans="1:24" s="15" customFormat="1">
      <c r="A297" s="15" t="s">
        <v>44</v>
      </c>
      <c r="B297" s="16">
        <v>68410</v>
      </c>
      <c r="C297" s="16" t="s">
        <v>498</v>
      </c>
      <c r="D297" s="15" t="s">
        <v>194</v>
      </c>
      <c r="E297" s="17">
        <f t="shared" si="11"/>
        <v>0</v>
      </c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5">
        <v>6091002</v>
      </c>
      <c r="S297" s="15" t="s">
        <v>499</v>
      </c>
      <c r="T297" s="15" t="s">
        <v>224</v>
      </c>
      <c r="U297" s="15" t="s">
        <v>425</v>
      </c>
      <c r="V297" s="15" t="s">
        <v>289</v>
      </c>
      <c r="W297" s="15">
        <v>0</v>
      </c>
      <c r="X297" s="19">
        <v>6091002</v>
      </c>
    </row>
    <row r="298" spans="1:24" s="15" customFormat="1">
      <c r="A298" s="15" t="s">
        <v>44</v>
      </c>
      <c r="B298" s="16">
        <v>68415</v>
      </c>
      <c r="C298" s="16" t="s">
        <v>500</v>
      </c>
      <c r="D298" s="15" t="s">
        <v>194</v>
      </c>
      <c r="E298" s="17">
        <f t="shared" ref="E298:E307" si="12">SUM(F298:Q298)</f>
        <v>0</v>
      </c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5">
        <v>6091004</v>
      </c>
      <c r="S298" s="15" t="s">
        <v>501</v>
      </c>
      <c r="T298" s="15" t="s">
        <v>224</v>
      </c>
      <c r="U298" s="15" t="s">
        <v>425</v>
      </c>
      <c r="V298" s="15" t="s">
        <v>289</v>
      </c>
      <c r="W298" s="15">
        <v>0</v>
      </c>
      <c r="X298" s="19">
        <v>6091004</v>
      </c>
    </row>
    <row r="299" spans="1:24" s="15" customFormat="1">
      <c r="A299" s="15" t="s">
        <v>44</v>
      </c>
      <c r="B299" s="16">
        <v>68420</v>
      </c>
      <c r="C299" s="16" t="s">
        <v>502</v>
      </c>
      <c r="D299" s="15" t="s">
        <v>194</v>
      </c>
      <c r="E299" s="17">
        <f t="shared" si="12"/>
        <v>0</v>
      </c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5">
        <v>6091011</v>
      </c>
      <c r="S299" s="15" t="s">
        <v>503</v>
      </c>
      <c r="T299" s="15" t="s">
        <v>224</v>
      </c>
      <c r="U299" s="15" t="s">
        <v>425</v>
      </c>
      <c r="V299" s="15" t="s">
        <v>289</v>
      </c>
      <c r="W299" s="15">
        <v>0</v>
      </c>
      <c r="X299" s="19">
        <v>6091011</v>
      </c>
    </row>
    <row r="300" spans="1:24" s="15" customFormat="1">
      <c r="A300" s="15" t="s">
        <v>44</v>
      </c>
      <c r="B300" s="16">
        <v>68421</v>
      </c>
      <c r="C300" s="16" t="s">
        <v>504</v>
      </c>
      <c r="D300" s="15" t="s">
        <v>194</v>
      </c>
      <c r="E300" s="17">
        <f t="shared" si="12"/>
        <v>0</v>
      </c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5">
        <v>6091011</v>
      </c>
      <c r="S300" s="15" t="s">
        <v>503</v>
      </c>
      <c r="T300" s="15" t="s">
        <v>224</v>
      </c>
      <c r="U300" s="15" t="s">
        <v>425</v>
      </c>
      <c r="V300" s="15" t="s">
        <v>289</v>
      </c>
      <c r="W300" s="15">
        <v>0</v>
      </c>
      <c r="X300" s="19">
        <v>6091011</v>
      </c>
    </row>
    <row r="301" spans="1:24" s="15" customFormat="1">
      <c r="A301" s="15" t="s">
        <v>44</v>
      </c>
      <c r="B301" s="16">
        <v>68450</v>
      </c>
      <c r="C301" s="16" t="s">
        <v>505</v>
      </c>
      <c r="D301" s="15" t="s">
        <v>194</v>
      </c>
      <c r="E301" s="17">
        <f t="shared" si="12"/>
        <v>0</v>
      </c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5">
        <v>6091006</v>
      </c>
      <c r="S301" s="15" t="s">
        <v>506</v>
      </c>
      <c r="T301" s="15" t="s">
        <v>224</v>
      </c>
      <c r="U301" s="15" t="s">
        <v>425</v>
      </c>
      <c r="V301" s="15" t="s">
        <v>289</v>
      </c>
      <c r="W301" s="15">
        <v>0</v>
      </c>
      <c r="X301" s="19">
        <v>6091006</v>
      </c>
    </row>
    <row r="302" spans="1:24" s="15" customFormat="1">
      <c r="A302" s="15" t="s">
        <v>44</v>
      </c>
      <c r="B302" s="16">
        <v>68460</v>
      </c>
      <c r="C302" s="16" t="s">
        <v>507</v>
      </c>
      <c r="D302" s="15" t="s">
        <v>235</v>
      </c>
      <c r="E302" s="17">
        <f t="shared" si="12"/>
        <v>0</v>
      </c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5">
        <v>6011009</v>
      </c>
      <c r="S302" s="15" t="s">
        <v>281</v>
      </c>
      <c r="T302" s="15" t="s">
        <v>234</v>
      </c>
      <c r="U302" s="15" t="s">
        <v>237</v>
      </c>
      <c r="V302" s="15" t="s">
        <v>289</v>
      </c>
      <c r="W302" s="15">
        <v>0</v>
      </c>
      <c r="X302" s="19">
        <v>6011009</v>
      </c>
    </row>
    <row r="303" spans="1:24" s="15" customFormat="1">
      <c r="A303" s="15" t="s">
        <v>44</v>
      </c>
      <c r="B303" s="16">
        <v>68465</v>
      </c>
      <c r="C303" s="16" t="s">
        <v>508</v>
      </c>
      <c r="D303" s="15" t="s">
        <v>235</v>
      </c>
      <c r="E303" s="17">
        <f t="shared" si="12"/>
        <v>0</v>
      </c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5">
        <v>6011009</v>
      </c>
      <c r="S303" s="15" t="s">
        <v>281</v>
      </c>
      <c r="T303" s="15" t="s">
        <v>234</v>
      </c>
      <c r="U303" s="15" t="s">
        <v>237</v>
      </c>
      <c r="V303" s="15" t="s">
        <v>289</v>
      </c>
      <c r="W303" s="15">
        <v>0</v>
      </c>
      <c r="X303" s="19">
        <v>6011009</v>
      </c>
    </row>
    <row r="304" spans="1:24" s="15" customFormat="1">
      <c r="A304" s="15" t="s">
        <v>44</v>
      </c>
      <c r="B304" s="16">
        <v>68470</v>
      </c>
      <c r="C304" s="16" t="s">
        <v>509</v>
      </c>
      <c r="D304" s="15" t="s">
        <v>235</v>
      </c>
      <c r="E304" s="17">
        <f t="shared" si="12"/>
        <v>0</v>
      </c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5">
        <v>6011009</v>
      </c>
      <c r="S304" s="15" t="s">
        <v>281</v>
      </c>
      <c r="T304" s="15" t="s">
        <v>234</v>
      </c>
      <c r="U304" s="15" t="s">
        <v>237</v>
      </c>
      <c r="V304" s="15" t="s">
        <v>289</v>
      </c>
      <c r="W304" s="15">
        <v>0</v>
      </c>
      <c r="X304" s="19">
        <v>6011009</v>
      </c>
    </row>
    <row r="305" spans="1:24" s="15" customFormat="1">
      <c r="A305" s="15" t="s">
        <v>44</v>
      </c>
      <c r="B305" s="16">
        <v>68472</v>
      </c>
      <c r="C305" s="16" t="s">
        <v>510</v>
      </c>
      <c r="D305" s="15" t="s">
        <v>235</v>
      </c>
      <c r="E305" s="17">
        <f t="shared" si="12"/>
        <v>0</v>
      </c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5">
        <v>6011009</v>
      </c>
      <c r="S305" s="15" t="s">
        <v>281</v>
      </c>
      <c r="T305" s="15" t="s">
        <v>234</v>
      </c>
      <c r="U305" s="15" t="s">
        <v>237</v>
      </c>
      <c r="V305" s="15" t="s">
        <v>289</v>
      </c>
      <c r="W305" s="15">
        <v>0</v>
      </c>
      <c r="X305" s="19">
        <v>6011009</v>
      </c>
    </row>
    <row r="306" spans="1:24" s="15" customFormat="1">
      <c r="A306" s="15" t="s">
        <v>44</v>
      </c>
      <c r="B306" s="16">
        <v>68475</v>
      </c>
      <c r="C306" s="16" t="s">
        <v>511</v>
      </c>
      <c r="D306" s="15" t="s">
        <v>194</v>
      </c>
      <c r="E306" s="17">
        <f t="shared" si="12"/>
        <v>0</v>
      </c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5">
        <v>6091006</v>
      </c>
      <c r="S306" s="15" t="s">
        <v>506</v>
      </c>
      <c r="T306" s="15" t="s">
        <v>224</v>
      </c>
      <c r="U306" s="15" t="s">
        <v>425</v>
      </c>
      <c r="V306" s="15" t="s">
        <v>289</v>
      </c>
      <c r="W306" s="15">
        <v>0</v>
      </c>
      <c r="X306" s="19">
        <v>6091006</v>
      </c>
    </row>
    <row r="307" spans="1:24" s="15" customFormat="1">
      <c r="A307" s="15" t="s">
        <v>44</v>
      </c>
      <c r="B307" s="16">
        <v>69800</v>
      </c>
      <c r="C307" s="16" t="s">
        <v>512</v>
      </c>
      <c r="D307" s="15" t="s">
        <v>194</v>
      </c>
      <c r="E307" s="17">
        <f t="shared" si="12"/>
        <v>0</v>
      </c>
      <c r="F307" s="18">
        <v>0</v>
      </c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5">
        <v>6101006</v>
      </c>
      <c r="S307" s="15" t="s">
        <v>473</v>
      </c>
      <c r="T307" s="15" t="s">
        <v>193</v>
      </c>
      <c r="U307" s="15" t="s">
        <v>321</v>
      </c>
      <c r="V307" s="15" t="s">
        <v>214</v>
      </c>
      <c r="W307" s="15">
        <v>0</v>
      </c>
      <c r="X307" s="19">
        <v>6101006</v>
      </c>
    </row>
    <row r="308" spans="1:24">
      <c r="B308" s="22"/>
      <c r="C308" s="22" t="s">
        <v>513</v>
      </c>
      <c r="D308" s="1" t="e">
        <f>VLOOKUP(B308,'[1]INC Map'!A:D,4,0)</f>
        <v>#N/A</v>
      </c>
      <c r="E308" s="23">
        <f t="shared" ref="E308:Q308" si="13">SUM(E116:E307)</f>
        <v>-7401909.0779486513</v>
      </c>
      <c r="F308" s="23">
        <f t="shared" si="13"/>
        <v>-637267.4422293409</v>
      </c>
      <c r="G308" s="23">
        <f t="shared" si="13"/>
        <v>-571778.82014600735</v>
      </c>
      <c r="H308" s="23">
        <f t="shared" si="13"/>
        <v>-608909.10889600753</v>
      </c>
      <c r="I308" s="23">
        <f t="shared" si="13"/>
        <v>-617703.82014600746</v>
      </c>
      <c r="J308" s="23">
        <f t="shared" si="13"/>
        <v>-609709.10889600753</v>
      </c>
      <c r="K308" s="23">
        <f t="shared" si="13"/>
        <v>-610891.51855870569</v>
      </c>
      <c r="L308" s="23">
        <f t="shared" si="13"/>
        <v>-575709.10889600741</v>
      </c>
      <c r="M308" s="23">
        <f t="shared" si="13"/>
        <v>-579076.84958694119</v>
      </c>
      <c r="N308" s="23">
        <f t="shared" si="13"/>
        <v>-616198.72677062918</v>
      </c>
      <c r="O308" s="23">
        <f t="shared" si="13"/>
        <v>-581031.05798729567</v>
      </c>
      <c r="P308" s="23">
        <f t="shared" si="13"/>
        <v>-580172.45784840686</v>
      </c>
      <c r="Q308" s="23">
        <f t="shared" si="13"/>
        <v>-613781.05798729579</v>
      </c>
      <c r="R308" s="1" t="e">
        <v>#N/A</v>
      </c>
      <c r="S308" s="1" t="e">
        <v>#N/A</v>
      </c>
      <c r="T308" s="1" t="e">
        <v>#N/A</v>
      </c>
      <c r="U308" s="1" t="e">
        <v>#N/A</v>
      </c>
      <c r="V308" s="1" t="e">
        <v>#N/A</v>
      </c>
      <c r="W308" s="1" t="e">
        <v>#N/A</v>
      </c>
      <c r="X308" s="14" t="e">
        <v>#N/A</v>
      </c>
    </row>
    <row r="309" spans="1:24">
      <c r="B309" s="22">
        <v>7000</v>
      </c>
      <c r="C309" s="22" t="s">
        <v>514</v>
      </c>
      <c r="D309" s="1" t="e">
        <f>VLOOKUP(B309,'[1]INC Map'!A:D,4,0)</f>
        <v>#N/A</v>
      </c>
      <c r="E309" s="23">
        <f t="shared" ref="E309:Q309" si="14">E115+E308</f>
        <v>1286434.1956569692</v>
      </c>
      <c r="F309" s="23">
        <f t="shared" si="14"/>
        <v>86024.819593349821</v>
      </c>
      <c r="G309" s="23">
        <f t="shared" si="14"/>
        <v>151513.44167668337</v>
      </c>
      <c r="H309" s="23">
        <f t="shared" si="14"/>
        <v>114383.15292668319</v>
      </c>
      <c r="I309" s="23">
        <f t="shared" si="14"/>
        <v>105588.44167668326</v>
      </c>
      <c r="J309" s="23">
        <f t="shared" si="14"/>
        <v>113583.15292668319</v>
      </c>
      <c r="K309" s="23">
        <f t="shared" si="14"/>
        <v>112400.74326398503</v>
      </c>
      <c r="L309" s="23">
        <f t="shared" si="14"/>
        <v>147583.15292668331</v>
      </c>
      <c r="M309" s="23">
        <f t="shared" si="14"/>
        <v>143489.55890241626</v>
      </c>
      <c r="N309" s="23">
        <f t="shared" si="14"/>
        <v>106367.68171872827</v>
      </c>
      <c r="O309" s="23">
        <f t="shared" si="14"/>
        <v>145690.48330206168</v>
      </c>
      <c r="P309" s="23">
        <f t="shared" si="14"/>
        <v>146549.08344095049</v>
      </c>
      <c r="Q309" s="23">
        <f t="shared" si="14"/>
        <v>112940.48330206156</v>
      </c>
      <c r="R309" s="1" t="e">
        <v>#N/A</v>
      </c>
      <c r="S309" s="1" t="e">
        <v>#N/A</v>
      </c>
      <c r="T309" s="1" t="e">
        <v>#N/A</v>
      </c>
      <c r="U309" s="1" t="e">
        <v>#N/A</v>
      </c>
      <c r="V309" s="1" t="e">
        <v>#N/A</v>
      </c>
      <c r="W309" s="1" t="e">
        <v>#N/A</v>
      </c>
      <c r="X309" s="14" t="e">
        <v>#N/A</v>
      </c>
    </row>
    <row r="310" spans="1:24">
      <c r="A310" s="1" t="s">
        <v>11</v>
      </c>
      <c r="B310" s="35">
        <v>6033</v>
      </c>
      <c r="C310" s="35" t="s">
        <v>515</v>
      </c>
      <c r="D310" s="1" t="s">
        <v>518</v>
      </c>
      <c r="E310" s="11">
        <f t="shared" ref="E310:E327" si="15">SUM(F310:Q310)</f>
        <v>-900</v>
      </c>
      <c r="F310" s="12">
        <v>-900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">
        <v>9022000</v>
      </c>
      <c r="S310" s="1" t="s">
        <v>519</v>
      </c>
      <c r="T310" s="1" t="s">
        <v>517</v>
      </c>
      <c r="U310" s="1" t="s">
        <v>519</v>
      </c>
      <c r="V310" s="1" t="s">
        <v>516</v>
      </c>
      <c r="W310" s="1">
        <v>0</v>
      </c>
      <c r="X310" s="14">
        <v>9022000</v>
      </c>
    </row>
    <row r="311" spans="1:24">
      <c r="A311" s="1" t="s">
        <v>11</v>
      </c>
      <c r="B311" s="35">
        <v>6034</v>
      </c>
      <c r="C311" s="35" t="s">
        <v>520</v>
      </c>
      <c r="D311" s="1" t="s">
        <v>518</v>
      </c>
      <c r="E311" s="11">
        <f t="shared" si="15"/>
        <v>-38400</v>
      </c>
      <c r="F311" s="12">
        <v>-3200</v>
      </c>
      <c r="G311" s="12">
        <v>-3200</v>
      </c>
      <c r="H311" s="12">
        <v>-3200</v>
      </c>
      <c r="I311" s="12">
        <v>-3200</v>
      </c>
      <c r="J311" s="12">
        <v>-3200</v>
      </c>
      <c r="K311" s="12">
        <v>-3200</v>
      </c>
      <c r="L311" s="12">
        <v>-3200</v>
      </c>
      <c r="M311" s="12">
        <v>-3200</v>
      </c>
      <c r="N311" s="12">
        <v>-3200</v>
      </c>
      <c r="O311" s="12">
        <v>-3200</v>
      </c>
      <c r="P311" s="12">
        <v>-3200</v>
      </c>
      <c r="Q311" s="12">
        <v>-3200</v>
      </c>
      <c r="R311" s="1">
        <v>9023000</v>
      </c>
      <c r="S311" s="1" t="s">
        <v>522</v>
      </c>
      <c r="T311" s="1" t="s">
        <v>517</v>
      </c>
      <c r="U311" s="1" t="s">
        <v>522</v>
      </c>
      <c r="V311" s="1" t="s">
        <v>520</v>
      </c>
      <c r="W311" s="1">
        <v>0</v>
      </c>
      <c r="X311" s="14">
        <v>9023000</v>
      </c>
    </row>
    <row r="312" spans="1:24">
      <c r="A312" s="1" t="s">
        <v>11</v>
      </c>
      <c r="B312" s="35">
        <v>6035</v>
      </c>
      <c r="C312" s="35" t="s">
        <v>523</v>
      </c>
      <c r="D312" s="1" t="s">
        <v>518</v>
      </c>
      <c r="E312" s="11">
        <f t="shared" si="15"/>
        <v>0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">
        <v>9021000</v>
      </c>
      <c r="S312" s="1" t="s">
        <v>524</v>
      </c>
      <c r="T312" s="1" t="s">
        <v>517</v>
      </c>
      <c r="U312" s="1" t="s">
        <v>524</v>
      </c>
      <c r="V312" s="1" t="s">
        <v>525</v>
      </c>
      <c r="W312" s="1">
        <v>0</v>
      </c>
      <c r="X312" s="14">
        <v>9021000</v>
      </c>
    </row>
    <row r="313" spans="1:24">
      <c r="A313" s="1" t="s">
        <v>11</v>
      </c>
      <c r="B313" s="10">
        <v>4910</v>
      </c>
      <c r="C313" s="10" t="s">
        <v>526</v>
      </c>
      <c r="D313" s="1" t="s">
        <v>185</v>
      </c>
      <c r="E313" s="11">
        <f t="shared" si="15"/>
        <v>0</v>
      </c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">
        <v>9012000</v>
      </c>
      <c r="S313" s="1" t="s">
        <v>528</v>
      </c>
      <c r="T313" s="1" t="s">
        <v>527</v>
      </c>
      <c r="U313" s="1" t="s">
        <v>528</v>
      </c>
      <c r="V313" s="1" t="s">
        <v>529</v>
      </c>
      <c r="W313" s="1">
        <v>0</v>
      </c>
      <c r="X313" s="14">
        <v>9012000</v>
      </c>
    </row>
    <row r="314" spans="1:24">
      <c r="A314" s="1" t="s">
        <v>11</v>
      </c>
      <c r="B314" s="26">
        <v>6299</v>
      </c>
      <c r="C314" s="26" t="s">
        <v>530</v>
      </c>
      <c r="D314" s="1" t="str">
        <f>VLOOKUP(B314,'[1]UT Map'!B:K,10,0)</f>
        <v>Trade Forex Gain/(Losses)</v>
      </c>
      <c r="E314" s="11">
        <f>SUM(F314:Q314)</f>
        <v>0</v>
      </c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1">
        <v>8011000</v>
      </c>
      <c r="S314" s="1" t="s">
        <v>533</v>
      </c>
      <c r="T314" s="1" t="s">
        <v>532</v>
      </c>
      <c r="U314" s="1" t="s">
        <v>532</v>
      </c>
      <c r="V314" s="1" t="s">
        <v>531</v>
      </c>
      <c r="W314" s="1">
        <v>0</v>
      </c>
      <c r="X314" s="14">
        <v>8011000</v>
      </c>
    </row>
    <row r="315" spans="1:24" s="15" customFormat="1">
      <c r="A315" s="15" t="s">
        <v>44</v>
      </c>
      <c r="B315" s="16">
        <v>77000</v>
      </c>
      <c r="C315" s="16" t="s">
        <v>534</v>
      </c>
      <c r="D315" s="15" t="s">
        <v>194</v>
      </c>
      <c r="E315" s="17">
        <f>SUM(F315:Q315)</f>
        <v>0</v>
      </c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5">
        <v>8011000</v>
      </c>
      <c r="S315" s="15" t="s">
        <v>533</v>
      </c>
      <c r="T315" s="15" t="s">
        <v>532</v>
      </c>
      <c r="U315" s="15" t="s">
        <v>532</v>
      </c>
      <c r="X315" s="19"/>
    </row>
    <row r="316" spans="1:24">
      <c r="A316" s="1" t="s">
        <v>11</v>
      </c>
      <c r="B316" s="26">
        <v>6887</v>
      </c>
      <c r="C316" s="26" t="s">
        <v>535</v>
      </c>
      <c r="D316" s="1" t="s">
        <v>535</v>
      </c>
      <c r="E316" s="11">
        <f t="shared" si="15"/>
        <v>0</v>
      </c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">
        <v>6102004</v>
      </c>
      <c r="S316" s="1" t="s">
        <v>535</v>
      </c>
      <c r="T316" s="1" t="s">
        <v>185</v>
      </c>
      <c r="U316" s="1" t="s">
        <v>535</v>
      </c>
      <c r="X316" s="14"/>
    </row>
    <row r="317" spans="1:24" s="15" customFormat="1">
      <c r="A317" s="15" t="s">
        <v>44</v>
      </c>
      <c r="B317" s="16">
        <v>62400</v>
      </c>
      <c r="C317" s="16" t="s">
        <v>536</v>
      </c>
      <c r="D317" s="15" t="s">
        <v>539</v>
      </c>
      <c r="E317" s="17">
        <f t="shared" si="15"/>
        <v>-540</v>
      </c>
      <c r="F317" s="18">
        <v>-45</v>
      </c>
      <c r="G317" s="18">
        <v>-45</v>
      </c>
      <c r="H317" s="18">
        <v>-45</v>
      </c>
      <c r="I317" s="18">
        <v>-45</v>
      </c>
      <c r="J317" s="18">
        <v>-45</v>
      </c>
      <c r="K317" s="18">
        <v>-45</v>
      </c>
      <c r="L317" s="18">
        <v>-45</v>
      </c>
      <c r="M317" s="18">
        <v>-45</v>
      </c>
      <c r="N317" s="18">
        <v>-45</v>
      </c>
      <c r="O317" s="18">
        <v>-45</v>
      </c>
      <c r="P317" s="18">
        <v>-45</v>
      </c>
      <c r="Q317" s="18">
        <v>-45</v>
      </c>
      <c r="R317" s="15">
        <v>6121001</v>
      </c>
      <c r="S317" s="15" t="s">
        <v>540</v>
      </c>
      <c r="T317" s="15" t="s">
        <v>538</v>
      </c>
      <c r="U317" s="15" t="s">
        <v>541</v>
      </c>
      <c r="V317" s="15" t="s">
        <v>542</v>
      </c>
      <c r="W317" s="15">
        <v>0</v>
      </c>
      <c r="X317" s="19">
        <v>6121001</v>
      </c>
    </row>
    <row r="318" spans="1:24">
      <c r="A318" s="1" t="s">
        <v>11</v>
      </c>
      <c r="B318" s="10">
        <v>6200</v>
      </c>
      <c r="C318" s="10" t="s">
        <v>543</v>
      </c>
      <c r="D318" s="1" t="s">
        <v>539</v>
      </c>
      <c r="E318" s="11">
        <f t="shared" si="15"/>
        <v>-60000</v>
      </c>
      <c r="F318" s="12">
        <v>-5000</v>
      </c>
      <c r="G318" s="12">
        <v>-5000</v>
      </c>
      <c r="H318" s="12">
        <v>-5000</v>
      </c>
      <c r="I318" s="12">
        <v>-5000</v>
      </c>
      <c r="J318" s="12">
        <v>-5000</v>
      </c>
      <c r="K318" s="12">
        <v>-5000</v>
      </c>
      <c r="L318" s="12">
        <v>-5000</v>
      </c>
      <c r="M318" s="12">
        <v>-5000</v>
      </c>
      <c r="N318" s="12">
        <v>-5000</v>
      </c>
      <c r="O318" s="12">
        <v>-5000</v>
      </c>
      <c r="P318" s="12">
        <v>-5000</v>
      </c>
      <c r="Q318" s="12">
        <v>-5000</v>
      </c>
      <c r="R318" s="1">
        <v>6121001</v>
      </c>
      <c r="S318" s="1" t="s">
        <v>540</v>
      </c>
      <c r="T318" s="1" t="s">
        <v>538</v>
      </c>
      <c r="U318" s="1" t="s">
        <v>541</v>
      </c>
      <c r="V318" s="1" t="s">
        <v>542</v>
      </c>
      <c r="W318" s="1">
        <v>0</v>
      </c>
      <c r="X318" s="14">
        <v>6121001</v>
      </c>
    </row>
    <row r="319" spans="1:24">
      <c r="A319" s="1" t="s">
        <v>11</v>
      </c>
      <c r="B319" s="10">
        <v>6201</v>
      </c>
      <c r="C319" s="35" t="s">
        <v>544</v>
      </c>
      <c r="D319" s="1" t="s">
        <v>539</v>
      </c>
      <c r="E319" s="11">
        <f t="shared" si="15"/>
        <v>-36000</v>
      </c>
      <c r="F319" s="12">
        <v>-3000</v>
      </c>
      <c r="G319" s="12">
        <v>-3000</v>
      </c>
      <c r="H319" s="12">
        <v>-3000</v>
      </c>
      <c r="I319" s="12">
        <v>-3000</v>
      </c>
      <c r="J319" s="12">
        <v>-3000</v>
      </c>
      <c r="K319" s="12">
        <v>-3000</v>
      </c>
      <c r="L319" s="12">
        <v>-3000</v>
      </c>
      <c r="M319" s="12">
        <v>-3000</v>
      </c>
      <c r="N319" s="12">
        <v>-3000</v>
      </c>
      <c r="O319" s="12">
        <v>-3000</v>
      </c>
      <c r="P319" s="12">
        <v>-3000</v>
      </c>
      <c r="Q319" s="12">
        <v>-3000</v>
      </c>
      <c r="R319" s="1">
        <v>6121001</v>
      </c>
      <c r="S319" s="1" t="s">
        <v>540</v>
      </c>
      <c r="T319" s="1" t="s">
        <v>538</v>
      </c>
      <c r="U319" s="1" t="s">
        <v>541</v>
      </c>
      <c r="V319" s="1" t="s">
        <v>542</v>
      </c>
      <c r="W319" s="1">
        <v>0</v>
      </c>
      <c r="X319" s="14">
        <v>6121001</v>
      </c>
    </row>
    <row r="320" spans="1:24">
      <c r="A320" s="1" t="s">
        <v>11</v>
      </c>
      <c r="B320" s="10">
        <v>6250</v>
      </c>
      <c r="C320" s="10" t="s">
        <v>545</v>
      </c>
      <c r="D320" s="1" t="s">
        <v>539</v>
      </c>
      <c r="E320" s="11">
        <f t="shared" si="15"/>
        <v>-216000</v>
      </c>
      <c r="F320" s="12">
        <v>-18000</v>
      </c>
      <c r="G320" s="12">
        <v>-18000</v>
      </c>
      <c r="H320" s="12">
        <v>-18000</v>
      </c>
      <c r="I320" s="12">
        <v>-18000</v>
      </c>
      <c r="J320" s="12">
        <v>-18000</v>
      </c>
      <c r="K320" s="12">
        <v>-18000</v>
      </c>
      <c r="L320" s="12">
        <v>-18000</v>
      </c>
      <c r="M320" s="12">
        <v>-18000</v>
      </c>
      <c r="N320" s="12">
        <v>-18000</v>
      </c>
      <c r="O320" s="12">
        <v>-18000</v>
      </c>
      <c r="P320" s="12">
        <v>-18000</v>
      </c>
      <c r="Q320" s="12">
        <v>-18000</v>
      </c>
      <c r="R320" s="1">
        <v>6122001</v>
      </c>
      <c r="S320" s="1" t="s">
        <v>547</v>
      </c>
      <c r="T320" s="1" t="s">
        <v>538</v>
      </c>
      <c r="U320" s="1" t="s">
        <v>548</v>
      </c>
      <c r="V320" s="1" t="s">
        <v>549</v>
      </c>
      <c r="W320" s="1">
        <v>0</v>
      </c>
      <c r="X320" s="14">
        <v>6122001</v>
      </c>
    </row>
    <row r="321" spans="1:24">
      <c r="A321" s="1" t="s">
        <v>11</v>
      </c>
      <c r="B321" s="10">
        <v>6203</v>
      </c>
      <c r="C321" s="10" t="s">
        <v>550</v>
      </c>
      <c r="D321" s="1" t="s">
        <v>539</v>
      </c>
      <c r="E321" s="11">
        <f t="shared" si="15"/>
        <v>-252000</v>
      </c>
      <c r="F321" s="12">
        <v>-21000</v>
      </c>
      <c r="G321" s="12">
        <v>-21000</v>
      </c>
      <c r="H321" s="12">
        <v>-21000</v>
      </c>
      <c r="I321" s="12">
        <v>-21000</v>
      </c>
      <c r="J321" s="12">
        <v>-21000</v>
      </c>
      <c r="K321" s="12">
        <v>-21000</v>
      </c>
      <c r="L321" s="12">
        <v>-21000</v>
      </c>
      <c r="M321" s="12">
        <v>-21000</v>
      </c>
      <c r="N321" s="12">
        <v>-21000</v>
      </c>
      <c r="O321" s="12">
        <v>-21000</v>
      </c>
      <c r="P321" s="12">
        <v>-21000</v>
      </c>
      <c r="Q321" s="12">
        <v>-21000</v>
      </c>
      <c r="R321" s="1">
        <v>6121001</v>
      </c>
      <c r="S321" s="1" t="s">
        <v>540</v>
      </c>
      <c r="T321" s="1" t="s">
        <v>538</v>
      </c>
      <c r="U321" s="1" t="s">
        <v>541</v>
      </c>
      <c r="V321" s="1" t="s">
        <v>542</v>
      </c>
      <c r="W321" s="1">
        <v>0</v>
      </c>
      <c r="X321" s="14">
        <v>6121001</v>
      </c>
    </row>
    <row r="322" spans="1:24">
      <c r="A322" s="1" t="s">
        <v>11</v>
      </c>
      <c r="B322" s="10">
        <v>6204</v>
      </c>
      <c r="C322" s="10" t="s">
        <v>551</v>
      </c>
      <c r="D322" s="1" t="s">
        <v>539</v>
      </c>
      <c r="E322" s="11">
        <f t="shared" si="15"/>
        <v>-4800</v>
      </c>
      <c r="F322" s="12">
        <v>-400</v>
      </c>
      <c r="G322" s="12">
        <v>-400</v>
      </c>
      <c r="H322" s="12">
        <v>-400</v>
      </c>
      <c r="I322" s="12">
        <v>-400</v>
      </c>
      <c r="J322" s="12">
        <v>-400</v>
      </c>
      <c r="K322" s="12">
        <v>-400</v>
      </c>
      <c r="L322" s="12">
        <v>-400</v>
      </c>
      <c r="M322" s="12">
        <v>-400</v>
      </c>
      <c r="N322" s="12">
        <v>-400</v>
      </c>
      <c r="O322" s="12">
        <v>-400</v>
      </c>
      <c r="P322" s="12">
        <v>-400</v>
      </c>
      <c r="Q322" s="12">
        <v>-400</v>
      </c>
      <c r="R322" s="1">
        <v>6121001</v>
      </c>
      <c r="S322" s="1" t="s">
        <v>540</v>
      </c>
      <c r="T322" s="1" t="s">
        <v>538</v>
      </c>
      <c r="U322" s="1" t="s">
        <v>541</v>
      </c>
      <c r="V322" s="1" t="s">
        <v>542</v>
      </c>
      <c r="W322" s="1">
        <v>0</v>
      </c>
      <c r="X322" s="14">
        <v>6121001</v>
      </c>
    </row>
    <row r="323" spans="1:24">
      <c r="A323" s="1" t="s">
        <v>11</v>
      </c>
      <c r="B323" s="10">
        <v>6205</v>
      </c>
      <c r="C323" s="10" t="s">
        <v>552</v>
      </c>
      <c r="D323" s="1" t="s">
        <v>539</v>
      </c>
      <c r="E323" s="11">
        <f t="shared" si="15"/>
        <v>-36000</v>
      </c>
      <c r="F323" s="12">
        <v>-3000</v>
      </c>
      <c r="G323" s="12">
        <v>-3000</v>
      </c>
      <c r="H323" s="12">
        <v>-3000</v>
      </c>
      <c r="I323" s="12">
        <v>-3000</v>
      </c>
      <c r="J323" s="12">
        <v>-3000</v>
      </c>
      <c r="K323" s="12">
        <v>-3000</v>
      </c>
      <c r="L323" s="12">
        <v>-3000</v>
      </c>
      <c r="M323" s="12">
        <v>-3000</v>
      </c>
      <c r="N323" s="12">
        <v>-3000</v>
      </c>
      <c r="O323" s="12">
        <v>-3000</v>
      </c>
      <c r="P323" s="12">
        <v>-3000</v>
      </c>
      <c r="Q323" s="12">
        <v>-3000</v>
      </c>
      <c r="R323" s="1">
        <v>6121001</v>
      </c>
      <c r="S323" s="1" t="s">
        <v>540</v>
      </c>
      <c r="T323" s="1" t="s">
        <v>538</v>
      </c>
      <c r="U323" s="1" t="s">
        <v>541</v>
      </c>
      <c r="V323" s="1" t="s">
        <v>542</v>
      </c>
      <c r="W323" s="1">
        <v>0</v>
      </c>
      <c r="X323" s="14">
        <v>6121001</v>
      </c>
    </row>
    <row r="324" spans="1:24">
      <c r="A324" s="1" t="s">
        <v>11</v>
      </c>
      <c r="B324" s="10">
        <v>7020</v>
      </c>
      <c r="C324" s="10" t="s">
        <v>553</v>
      </c>
      <c r="D324" s="1" t="s">
        <v>555</v>
      </c>
      <c r="E324" s="11">
        <f t="shared" si="15"/>
        <v>0</v>
      </c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">
        <v>9702200</v>
      </c>
      <c r="S324" s="1" t="s">
        <v>556</v>
      </c>
      <c r="T324" s="1" t="s">
        <v>554</v>
      </c>
      <c r="U324" s="1" t="s">
        <v>557</v>
      </c>
      <c r="V324" s="1" t="s">
        <v>558</v>
      </c>
      <c r="W324" s="1">
        <v>0</v>
      </c>
      <c r="X324" s="14">
        <v>9702200</v>
      </c>
    </row>
    <row r="325" spans="1:24">
      <c r="A325" s="1" t="s">
        <v>190</v>
      </c>
      <c r="B325" s="10">
        <v>480</v>
      </c>
      <c r="C325" s="10" t="s">
        <v>559</v>
      </c>
      <c r="D325" s="1" t="s">
        <v>555</v>
      </c>
      <c r="E325" s="11">
        <f t="shared" si="15"/>
        <v>0</v>
      </c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">
        <v>9702200</v>
      </c>
      <c r="S325" s="1" t="s">
        <v>556</v>
      </c>
      <c r="T325" s="1" t="s">
        <v>554</v>
      </c>
      <c r="U325" s="1" t="s">
        <v>557</v>
      </c>
      <c r="V325" s="1" t="s">
        <v>558</v>
      </c>
      <c r="W325" s="1">
        <v>0</v>
      </c>
      <c r="X325" s="14">
        <v>9702200</v>
      </c>
    </row>
    <row r="326" spans="1:24">
      <c r="A326" s="1" t="s">
        <v>190</v>
      </c>
      <c r="B326" s="26">
        <v>6889</v>
      </c>
      <c r="C326" s="26" t="s">
        <v>561</v>
      </c>
      <c r="D326" s="1" t="s">
        <v>535</v>
      </c>
      <c r="E326" s="11">
        <f t="shared" si="15"/>
        <v>0</v>
      </c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">
        <v>6102004</v>
      </c>
      <c r="S326" s="1" t="s">
        <v>535</v>
      </c>
      <c r="T326" s="1" t="s">
        <v>185</v>
      </c>
      <c r="U326" s="1" t="s">
        <v>535</v>
      </c>
      <c r="X326" s="14"/>
    </row>
    <row r="327" spans="1:24" s="15" customFormat="1">
      <c r="A327" s="15" t="s">
        <v>44</v>
      </c>
      <c r="B327" s="16">
        <v>65050</v>
      </c>
      <c r="C327" s="16" t="s">
        <v>562</v>
      </c>
      <c r="D327" s="15" t="s">
        <v>555</v>
      </c>
      <c r="E327" s="17">
        <f t="shared" si="15"/>
        <v>0</v>
      </c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5">
        <v>9701200</v>
      </c>
      <c r="S327" s="15" t="s">
        <v>563</v>
      </c>
      <c r="T327" s="15" t="s">
        <v>554</v>
      </c>
      <c r="U327" s="15" t="s">
        <v>564</v>
      </c>
      <c r="V327" s="15" t="s">
        <v>558</v>
      </c>
      <c r="W327" s="15">
        <v>0</v>
      </c>
      <c r="X327" s="19">
        <v>9701200</v>
      </c>
    </row>
    <row r="328" spans="1:24">
      <c r="B328" s="14"/>
      <c r="C328" s="37" t="s">
        <v>565</v>
      </c>
      <c r="D328" s="1" t="e">
        <f>VLOOKUP(B328,'[1]UT Map'!B:K,10,0)</f>
        <v>#N/A</v>
      </c>
      <c r="E328" s="38">
        <f t="shared" ref="E328:Q328" si="16">SUM(E310:E327)</f>
        <v>-644640</v>
      </c>
      <c r="F328" s="38">
        <f t="shared" si="16"/>
        <v>-54545</v>
      </c>
      <c r="G328" s="38">
        <f t="shared" si="16"/>
        <v>-53645</v>
      </c>
      <c r="H328" s="38">
        <f t="shared" si="16"/>
        <v>-53645</v>
      </c>
      <c r="I328" s="38">
        <f t="shared" si="16"/>
        <v>-53645</v>
      </c>
      <c r="J328" s="38">
        <f t="shared" si="16"/>
        <v>-53645</v>
      </c>
      <c r="K328" s="38">
        <f t="shared" si="16"/>
        <v>-53645</v>
      </c>
      <c r="L328" s="38">
        <f t="shared" si="16"/>
        <v>-53645</v>
      </c>
      <c r="M328" s="38">
        <f t="shared" si="16"/>
        <v>-53645</v>
      </c>
      <c r="N328" s="38">
        <f t="shared" si="16"/>
        <v>-53645</v>
      </c>
      <c r="O328" s="38">
        <f t="shared" si="16"/>
        <v>-53645</v>
      </c>
      <c r="P328" s="38">
        <f t="shared" si="16"/>
        <v>-53645</v>
      </c>
      <c r="Q328" s="38">
        <f t="shared" si="16"/>
        <v>-53645</v>
      </c>
      <c r="R328" s="1" t="e">
        <v>#N/A</v>
      </c>
      <c r="S328" s="1" t="e">
        <v>#N/A</v>
      </c>
      <c r="T328" s="1" t="e">
        <v>#N/A</v>
      </c>
      <c r="U328" s="1" t="e">
        <v>#N/A</v>
      </c>
      <c r="V328" s="1" t="e">
        <v>#N/A</v>
      </c>
      <c r="W328" s="1" t="e">
        <v>#N/A</v>
      </c>
      <c r="X328" s="14" t="e">
        <v>#N/A</v>
      </c>
    </row>
    <row r="329" spans="1:24">
      <c r="B329" s="14"/>
      <c r="C329" s="39" t="s">
        <v>566</v>
      </c>
      <c r="D329" s="1" t="e">
        <f>VLOOKUP(B329,'[1]UT Map'!B:K,10,0)</f>
        <v>#N/A</v>
      </c>
      <c r="E329" s="40">
        <f t="shared" ref="E329:Q329" si="17">E308+E328</f>
        <v>-8046549.0779486513</v>
      </c>
      <c r="F329" s="40">
        <f t="shared" si="17"/>
        <v>-691812.4422293409</v>
      </c>
      <c r="G329" s="40">
        <f t="shared" si="17"/>
        <v>-625423.82014600735</v>
      </c>
      <c r="H329" s="40">
        <f t="shared" si="17"/>
        <v>-662554.10889600753</v>
      </c>
      <c r="I329" s="40">
        <f t="shared" si="17"/>
        <v>-671348.82014600746</v>
      </c>
      <c r="J329" s="40">
        <f t="shared" si="17"/>
        <v>-663354.10889600753</v>
      </c>
      <c r="K329" s="40">
        <f t="shared" si="17"/>
        <v>-664536.51855870569</v>
      </c>
      <c r="L329" s="40">
        <f t="shared" si="17"/>
        <v>-629354.10889600741</v>
      </c>
      <c r="M329" s="40">
        <f t="shared" si="17"/>
        <v>-632721.84958694119</v>
      </c>
      <c r="N329" s="40">
        <f t="shared" si="17"/>
        <v>-669843.72677062918</v>
      </c>
      <c r="O329" s="40">
        <f t="shared" si="17"/>
        <v>-634676.05798729567</v>
      </c>
      <c r="P329" s="40">
        <f t="shared" si="17"/>
        <v>-633817.45784840686</v>
      </c>
      <c r="Q329" s="40">
        <f t="shared" si="17"/>
        <v>-667426.05798729579</v>
      </c>
      <c r="R329" s="1" t="e">
        <v>#N/A</v>
      </c>
      <c r="S329" s="1" t="e">
        <v>#N/A</v>
      </c>
      <c r="T329" s="1" t="e">
        <v>#N/A</v>
      </c>
      <c r="U329" s="1" t="e">
        <v>#N/A</v>
      </c>
      <c r="V329" s="1" t="e">
        <v>#N/A</v>
      </c>
      <c r="W329" s="1" t="e">
        <v>#N/A</v>
      </c>
      <c r="X329" s="14" t="e">
        <v>#N/A</v>
      </c>
    </row>
    <row r="330" spans="1:24">
      <c r="B330" s="14"/>
      <c r="C330" s="39" t="s">
        <v>567</v>
      </c>
      <c r="D330" s="1" t="e">
        <f>VLOOKUP(B330,'[1]UT Map'!B:K,10,0)</f>
        <v>#N/A</v>
      </c>
      <c r="E330" s="40">
        <f>E115+E329</f>
        <v>641794.19565696921</v>
      </c>
      <c r="F330" s="40">
        <f t="shared" ref="F330:Q330" si="18">F43+F114+F329</f>
        <v>31479.819593349821</v>
      </c>
      <c r="G330" s="40">
        <f t="shared" si="18"/>
        <v>97868.441676683375</v>
      </c>
      <c r="H330" s="40">
        <f t="shared" si="18"/>
        <v>60738.152926683193</v>
      </c>
      <c r="I330" s="40">
        <f t="shared" si="18"/>
        <v>51943.441676683258</v>
      </c>
      <c r="J330" s="40">
        <f t="shared" si="18"/>
        <v>59938.152926683193</v>
      </c>
      <c r="K330" s="40">
        <f t="shared" si="18"/>
        <v>58755.74326398503</v>
      </c>
      <c r="L330" s="40">
        <f t="shared" si="18"/>
        <v>93938.152926683309</v>
      </c>
      <c r="M330" s="40">
        <f t="shared" si="18"/>
        <v>89844.558902416262</v>
      </c>
      <c r="N330" s="40">
        <f t="shared" si="18"/>
        <v>52722.681718728272</v>
      </c>
      <c r="O330" s="40">
        <f t="shared" si="18"/>
        <v>92045.483302061679</v>
      </c>
      <c r="P330" s="40">
        <f t="shared" si="18"/>
        <v>92904.08344095049</v>
      </c>
      <c r="Q330" s="40">
        <f t="shared" si="18"/>
        <v>59295.483302061562</v>
      </c>
      <c r="R330" s="1" t="e">
        <v>#N/A</v>
      </c>
      <c r="S330" s="1" t="e">
        <v>#N/A</v>
      </c>
      <c r="T330" s="1" t="e">
        <v>#N/A</v>
      </c>
      <c r="U330" s="1" t="e">
        <v>#N/A</v>
      </c>
      <c r="V330" s="1" t="e">
        <v>#N/A</v>
      </c>
      <c r="W330" s="1" t="e">
        <v>#N/A</v>
      </c>
      <c r="X330" s="14" t="e">
        <v>#N/A</v>
      </c>
    </row>
    <row r="331" spans="1:24">
      <c r="B331" s="14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</row>
    <row r="332" spans="1:24">
      <c r="A332" s="1" t="s">
        <v>568</v>
      </c>
      <c r="C332" s="41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</row>
    <row r="333" spans="1:24">
      <c r="A333" s="45" t="s">
        <v>569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</row>
    <row r="335" spans="1:24"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</row>
    <row r="336" spans="1:24">
      <c r="C336" s="1" t="s">
        <v>570</v>
      </c>
      <c r="E336" s="4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</row>
    <row r="337" spans="1:23"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</row>
    <row r="338" spans="1:23">
      <c r="D338" s="1" t="s">
        <v>571</v>
      </c>
      <c r="E338" s="14">
        <f>SUM(F338:Q338)</f>
        <v>1486114.1956569692</v>
      </c>
      <c r="F338" s="14">
        <f t="shared" ref="F338:Q338" si="19">F115+F308</f>
        <v>86024.819593349821</v>
      </c>
      <c r="G338" s="14">
        <f t="shared" si="19"/>
        <v>151513.44167668337</v>
      </c>
      <c r="H338" s="14">
        <f t="shared" si="19"/>
        <v>114383.15292668319</v>
      </c>
      <c r="I338" s="14">
        <f t="shared" si="19"/>
        <v>105588.44167668326</v>
      </c>
      <c r="J338" s="14">
        <f t="shared" si="19"/>
        <v>113583.15292668319</v>
      </c>
      <c r="K338" s="14">
        <f t="shared" si="19"/>
        <v>112400.74326398503</v>
      </c>
      <c r="L338" s="14">
        <f t="shared" si="19"/>
        <v>147583.15292668331</v>
      </c>
      <c r="M338" s="14">
        <f t="shared" si="19"/>
        <v>143489.55890241626</v>
      </c>
      <c r="N338" s="14">
        <f t="shared" si="19"/>
        <v>106367.68171872827</v>
      </c>
      <c r="O338" s="14">
        <f t="shared" si="19"/>
        <v>145690.48330206168</v>
      </c>
      <c r="P338" s="14">
        <f t="shared" si="19"/>
        <v>146549.08344095049</v>
      </c>
      <c r="Q338" s="14">
        <f t="shared" si="19"/>
        <v>112940.48330206156</v>
      </c>
    </row>
    <row r="339" spans="1:23">
      <c r="D339" s="1" t="s">
        <v>368</v>
      </c>
      <c r="E339" s="14">
        <f>SUM(F339:Q339)</f>
        <v>0</v>
      </c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</row>
    <row r="340" spans="1:23" s="49" customFormat="1" ht="14.4" thickBot="1">
      <c r="D340" s="50" t="s">
        <v>572</v>
      </c>
      <c r="E340" s="51">
        <f>SUM(E338:E339)</f>
        <v>1486114.1956569692</v>
      </c>
      <c r="F340" s="51">
        <f t="shared" ref="F340:Q340" si="20">SUM(F338:F339)</f>
        <v>86024.819593349821</v>
      </c>
      <c r="G340" s="51">
        <f t="shared" si="20"/>
        <v>151513.44167668337</v>
      </c>
      <c r="H340" s="51">
        <f t="shared" si="20"/>
        <v>114383.15292668319</v>
      </c>
      <c r="I340" s="51">
        <f t="shared" si="20"/>
        <v>105588.44167668326</v>
      </c>
      <c r="J340" s="51">
        <f t="shared" si="20"/>
        <v>113583.15292668319</v>
      </c>
      <c r="K340" s="51">
        <f t="shared" si="20"/>
        <v>112400.74326398503</v>
      </c>
      <c r="L340" s="51">
        <f t="shared" si="20"/>
        <v>147583.15292668331</v>
      </c>
      <c r="M340" s="51">
        <f t="shared" si="20"/>
        <v>143489.55890241626</v>
      </c>
      <c r="N340" s="51">
        <f t="shared" si="20"/>
        <v>106367.68171872827</v>
      </c>
      <c r="O340" s="51">
        <f t="shared" si="20"/>
        <v>145690.48330206168</v>
      </c>
      <c r="P340" s="51">
        <f t="shared" si="20"/>
        <v>146549.08344095049</v>
      </c>
      <c r="Q340" s="51">
        <f t="shared" si="20"/>
        <v>112940.48330206156</v>
      </c>
    </row>
    <row r="341" spans="1:23" ht="14.4" thickTop="1"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</row>
    <row r="342" spans="1:23"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</row>
    <row r="343" spans="1:23"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</row>
    <row r="344" spans="1:23"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</row>
    <row r="345" spans="1:23"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</row>
    <row r="346" spans="1:23"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</row>
    <row r="347" spans="1:23"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</row>
    <row r="348" spans="1:23"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</row>
    <row r="349" spans="1:23" ht="33.6" hidden="1" outlineLevel="1">
      <c r="A349" s="52" t="s">
        <v>573</v>
      </c>
      <c r="E349" s="5" t="s">
        <v>574</v>
      </c>
      <c r="F349" s="6">
        <v>45474</v>
      </c>
      <c r="G349" s="6">
        <v>45505</v>
      </c>
      <c r="H349" s="6">
        <v>45536</v>
      </c>
      <c r="I349" s="6">
        <v>45566</v>
      </c>
      <c r="J349" s="6">
        <v>45597</v>
      </c>
      <c r="K349" s="6">
        <v>45627</v>
      </c>
      <c r="L349" s="6">
        <v>45658</v>
      </c>
      <c r="M349" s="6">
        <v>45689</v>
      </c>
      <c r="N349" s="6">
        <v>45717</v>
      </c>
      <c r="O349" s="6">
        <v>45748</v>
      </c>
      <c r="P349" s="6">
        <v>45778</v>
      </c>
      <c r="Q349" s="6">
        <v>45809</v>
      </c>
    </row>
    <row r="350" spans="1:23" hidden="1" outlineLevel="1">
      <c r="E350" s="11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" t="e">
        <v>#N/A</v>
      </c>
      <c r="S350" s="1" t="e">
        <v>#N/A</v>
      </c>
      <c r="V350" s="1" t="e">
        <v>#N/A</v>
      </c>
      <c r="W350" s="1" t="e">
        <v>#N/A</v>
      </c>
    </row>
    <row r="351" spans="1:23" hidden="1" outlineLevel="1">
      <c r="B351" s="53" t="s">
        <v>575</v>
      </c>
      <c r="E351" s="11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" t="e">
        <v>#N/A</v>
      </c>
      <c r="S351" s="1" t="e">
        <v>#N/A</v>
      </c>
      <c r="V351" s="1" t="e">
        <v>#N/A</v>
      </c>
      <c r="W351" s="1" t="e">
        <v>#N/A</v>
      </c>
    </row>
    <row r="352" spans="1:23" hidden="1" outlineLevel="1">
      <c r="A352" s="1" t="s">
        <v>11</v>
      </c>
      <c r="B352" s="25">
        <v>1100</v>
      </c>
      <c r="C352" s="25" t="s">
        <v>576</v>
      </c>
      <c r="E352" s="11"/>
      <c r="F352" s="12">
        <v>46</v>
      </c>
      <c r="G352" s="12">
        <v>46</v>
      </c>
      <c r="H352" s="12">
        <v>46</v>
      </c>
      <c r="I352" s="12">
        <v>46</v>
      </c>
      <c r="J352" s="12">
        <v>46</v>
      </c>
      <c r="K352" s="12">
        <v>46</v>
      </c>
      <c r="L352" s="12">
        <v>46</v>
      </c>
      <c r="M352" s="12">
        <v>46</v>
      </c>
      <c r="N352" s="12">
        <v>46</v>
      </c>
      <c r="O352" s="12">
        <v>46</v>
      </c>
      <c r="P352" s="12">
        <v>46</v>
      </c>
      <c r="Q352" s="12">
        <v>46</v>
      </c>
      <c r="R352" s="1">
        <v>1010000</v>
      </c>
      <c r="S352" s="1" t="s">
        <v>577</v>
      </c>
      <c r="V352" s="1" t="s">
        <v>578</v>
      </c>
      <c r="W352" s="1">
        <v>0</v>
      </c>
    </row>
    <row r="353" spans="1:24" hidden="1" outlineLevel="1">
      <c r="A353" s="1" t="s">
        <v>11</v>
      </c>
      <c r="B353" s="25">
        <v>1101</v>
      </c>
      <c r="C353" s="25" t="s">
        <v>199</v>
      </c>
      <c r="E353" s="11"/>
      <c r="F353" s="54">
        <v>1801169.4451247803</v>
      </c>
      <c r="G353" s="54">
        <v>1504746.1373924178</v>
      </c>
      <c r="H353" s="54">
        <v>1571503.7820410077</v>
      </c>
      <c r="I353" s="54">
        <v>1650628.0933562643</v>
      </c>
      <c r="J353" s="54">
        <v>1709919.0713381874</v>
      </c>
      <c r="K353" s="54">
        <v>1771076.7159867776</v>
      </c>
      <c r="L353" s="54">
        <v>1870204.3606353677</v>
      </c>
      <c r="M353" s="54">
        <v>1961577.4508938123</v>
      </c>
      <c r="N353" s="54">
        <v>1798583.87448559</v>
      </c>
      <c r="O353" s="54">
        <v>1787456.9647440347</v>
      </c>
      <c r="P353" s="54">
        <v>1861254.7216691459</v>
      </c>
      <c r="Q353" s="54">
        <v>1896561.145260924</v>
      </c>
      <c r="R353" s="1">
        <v>1010000</v>
      </c>
      <c r="S353" s="1" t="s">
        <v>577</v>
      </c>
      <c r="V353" s="1" t="s">
        <v>579</v>
      </c>
      <c r="W353" s="1">
        <v>0</v>
      </c>
    </row>
    <row r="354" spans="1:24" hidden="1" outlineLevel="1">
      <c r="A354" s="1" t="s">
        <v>11</v>
      </c>
      <c r="B354" s="25">
        <v>1102</v>
      </c>
      <c r="C354" s="25" t="s">
        <v>580</v>
      </c>
      <c r="E354" s="11"/>
      <c r="F354" s="12">
        <v>383</v>
      </c>
      <c r="G354" s="12">
        <v>383</v>
      </c>
      <c r="H354" s="12">
        <v>383</v>
      </c>
      <c r="I354" s="12">
        <v>383</v>
      </c>
      <c r="J354" s="12">
        <v>383</v>
      </c>
      <c r="K354" s="12">
        <v>383</v>
      </c>
      <c r="L354" s="12">
        <v>383</v>
      </c>
      <c r="M354" s="12">
        <v>383</v>
      </c>
      <c r="N354" s="12">
        <v>383</v>
      </c>
      <c r="O354" s="12">
        <v>383</v>
      </c>
      <c r="P354" s="12">
        <v>383</v>
      </c>
      <c r="Q354" s="12">
        <v>383</v>
      </c>
      <c r="R354" s="1">
        <v>1010000</v>
      </c>
      <c r="S354" s="1" t="s">
        <v>577</v>
      </c>
      <c r="V354" s="1" t="s">
        <v>579</v>
      </c>
      <c r="W354" s="1">
        <v>0</v>
      </c>
    </row>
    <row r="355" spans="1:24" hidden="1" outlineLevel="1">
      <c r="A355" s="1" t="s">
        <v>11</v>
      </c>
      <c r="B355" s="25">
        <v>1103</v>
      </c>
      <c r="C355" s="25" t="s">
        <v>581</v>
      </c>
      <c r="E355" s="11"/>
      <c r="F355" s="12">
        <v>940</v>
      </c>
      <c r="G355" s="12">
        <v>940</v>
      </c>
      <c r="H355" s="12">
        <v>940</v>
      </c>
      <c r="I355" s="12">
        <v>940</v>
      </c>
      <c r="J355" s="12">
        <v>940</v>
      </c>
      <c r="K355" s="12">
        <v>940</v>
      </c>
      <c r="L355" s="12">
        <v>940</v>
      </c>
      <c r="M355" s="12">
        <v>940</v>
      </c>
      <c r="N355" s="12">
        <v>940</v>
      </c>
      <c r="O355" s="12">
        <v>940</v>
      </c>
      <c r="P355" s="12">
        <v>940</v>
      </c>
      <c r="Q355" s="12">
        <v>940</v>
      </c>
      <c r="R355" s="1">
        <v>1010000</v>
      </c>
      <c r="S355" s="1" t="s">
        <v>577</v>
      </c>
      <c r="V355" s="1" t="s">
        <v>579</v>
      </c>
      <c r="W355" s="1">
        <v>0</v>
      </c>
    </row>
    <row r="356" spans="1:24" hidden="1" outlineLevel="1">
      <c r="A356" s="1" t="s">
        <v>11</v>
      </c>
      <c r="B356" s="25">
        <v>1106</v>
      </c>
      <c r="C356" s="25" t="s">
        <v>582</v>
      </c>
      <c r="E356" s="11"/>
      <c r="F356" s="12">
        <v>20580</v>
      </c>
      <c r="G356" s="12">
        <v>20580</v>
      </c>
      <c r="H356" s="12">
        <v>20580</v>
      </c>
      <c r="I356" s="12">
        <v>20580</v>
      </c>
      <c r="J356" s="12">
        <v>20580</v>
      </c>
      <c r="K356" s="12">
        <v>20580</v>
      </c>
      <c r="L356" s="12">
        <v>20580</v>
      </c>
      <c r="M356" s="12">
        <v>20580</v>
      </c>
      <c r="N356" s="12">
        <v>20580</v>
      </c>
      <c r="O356" s="12">
        <v>20580</v>
      </c>
      <c r="P356" s="12">
        <v>20580</v>
      </c>
      <c r="Q356" s="12">
        <v>20580</v>
      </c>
      <c r="R356" s="1">
        <v>1010000</v>
      </c>
      <c r="S356" s="1" t="s">
        <v>577</v>
      </c>
      <c r="V356" s="1" t="s">
        <v>579</v>
      </c>
      <c r="W356" s="1">
        <v>0</v>
      </c>
    </row>
    <row r="357" spans="1:24" hidden="1" outlineLevel="1">
      <c r="A357" s="1" t="s">
        <v>11</v>
      </c>
      <c r="B357" s="25">
        <v>1107</v>
      </c>
      <c r="C357" s="25" t="s">
        <v>583</v>
      </c>
      <c r="E357" s="11"/>
      <c r="F357" s="12">
        <v>11195</v>
      </c>
      <c r="G357" s="12">
        <v>11195</v>
      </c>
      <c r="H357" s="12">
        <v>11195</v>
      </c>
      <c r="I357" s="12">
        <v>11195</v>
      </c>
      <c r="J357" s="12">
        <v>11195</v>
      </c>
      <c r="K357" s="12">
        <v>11195</v>
      </c>
      <c r="L357" s="12">
        <v>11195</v>
      </c>
      <c r="M357" s="12">
        <v>11195</v>
      </c>
      <c r="N357" s="12">
        <v>11195</v>
      </c>
      <c r="O357" s="12">
        <v>11195</v>
      </c>
      <c r="P357" s="12">
        <v>11195</v>
      </c>
      <c r="Q357" s="12">
        <v>11195</v>
      </c>
      <c r="R357" s="1">
        <v>1010000</v>
      </c>
      <c r="S357" s="1" t="s">
        <v>577</v>
      </c>
      <c r="V357" s="1" t="s">
        <v>579</v>
      </c>
      <c r="W357" s="1">
        <v>0</v>
      </c>
    </row>
    <row r="358" spans="1:24" hidden="1" outlineLevel="1">
      <c r="A358" s="1" t="s">
        <v>11</v>
      </c>
      <c r="B358" s="25">
        <v>1108</v>
      </c>
      <c r="C358" s="25" t="s">
        <v>584</v>
      </c>
      <c r="E358" s="11"/>
      <c r="F358" s="12">
        <v>352402</v>
      </c>
      <c r="G358" s="12">
        <v>352402</v>
      </c>
      <c r="H358" s="12">
        <v>352402</v>
      </c>
      <c r="I358" s="12">
        <v>352402</v>
      </c>
      <c r="J358" s="12">
        <v>352402</v>
      </c>
      <c r="K358" s="12">
        <v>352402</v>
      </c>
      <c r="L358" s="12">
        <v>352402</v>
      </c>
      <c r="M358" s="12">
        <v>352402</v>
      </c>
      <c r="N358" s="12">
        <v>352402</v>
      </c>
      <c r="O358" s="12">
        <v>352402</v>
      </c>
      <c r="P358" s="12">
        <v>352402</v>
      </c>
      <c r="Q358" s="12">
        <v>352402</v>
      </c>
      <c r="R358" s="1">
        <v>1010000</v>
      </c>
      <c r="S358" s="1" t="s">
        <v>577</v>
      </c>
      <c r="V358" s="1" t="s">
        <v>579</v>
      </c>
      <c r="W358" s="1">
        <v>0</v>
      </c>
    </row>
    <row r="359" spans="1:24" hidden="1" outlineLevel="1">
      <c r="A359" s="1" t="s">
        <v>11</v>
      </c>
      <c r="B359" s="25">
        <v>1104</v>
      </c>
      <c r="C359" s="25" t="s">
        <v>585</v>
      </c>
      <c r="E359" s="11"/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">
        <v>1010000</v>
      </c>
      <c r="S359" s="1" t="s">
        <v>577</v>
      </c>
      <c r="V359" s="1" t="s">
        <v>579</v>
      </c>
      <c r="W359" s="1">
        <v>0</v>
      </c>
    </row>
    <row r="360" spans="1:24" hidden="1" outlineLevel="1">
      <c r="A360" s="1" t="s">
        <v>11</v>
      </c>
      <c r="B360" s="25">
        <v>1105</v>
      </c>
      <c r="C360" s="25" t="s">
        <v>586</v>
      </c>
      <c r="E360" s="11"/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">
        <v>1010000</v>
      </c>
      <c r="S360" s="1" t="s">
        <v>577</v>
      </c>
      <c r="V360" s="1" t="s">
        <v>579</v>
      </c>
      <c r="W360" s="1">
        <v>0</v>
      </c>
    </row>
    <row r="361" spans="1:24" hidden="1" outlineLevel="1">
      <c r="A361" s="1" t="s">
        <v>587</v>
      </c>
      <c r="B361" s="55">
        <v>640</v>
      </c>
      <c r="C361" s="55" t="s">
        <v>588</v>
      </c>
      <c r="E361" s="24"/>
      <c r="F361" s="56">
        <v>144</v>
      </c>
      <c r="G361" s="56">
        <v>144</v>
      </c>
      <c r="H361" s="56">
        <v>144</v>
      </c>
      <c r="I361" s="56">
        <v>144</v>
      </c>
      <c r="J361" s="56">
        <v>144</v>
      </c>
      <c r="K361" s="56">
        <v>144</v>
      </c>
      <c r="L361" s="56">
        <v>144</v>
      </c>
      <c r="M361" s="56">
        <v>144</v>
      </c>
      <c r="N361" s="56">
        <v>144</v>
      </c>
      <c r="O361" s="56">
        <v>144</v>
      </c>
      <c r="P361" s="56">
        <v>144</v>
      </c>
      <c r="Q361" s="56">
        <v>144</v>
      </c>
      <c r="R361" s="1">
        <v>1010000</v>
      </c>
      <c r="S361" s="1" t="s">
        <v>577</v>
      </c>
      <c r="V361" s="1" t="s">
        <v>578</v>
      </c>
      <c r="W361" s="1">
        <v>0</v>
      </c>
      <c r="X361" s="14"/>
    </row>
    <row r="362" spans="1:24" hidden="1" outlineLevel="1">
      <c r="A362" s="1" t="s">
        <v>587</v>
      </c>
      <c r="B362" s="55">
        <v>680</v>
      </c>
      <c r="C362" s="55" t="s">
        <v>589</v>
      </c>
      <c r="E362" s="24"/>
      <c r="F362" s="56">
        <v>208.62</v>
      </c>
      <c r="G362" s="56">
        <v>208.62</v>
      </c>
      <c r="H362" s="56">
        <v>208.62</v>
      </c>
      <c r="I362" s="56">
        <v>208.62</v>
      </c>
      <c r="J362" s="56">
        <v>208.62</v>
      </c>
      <c r="K362" s="56">
        <v>208.62</v>
      </c>
      <c r="L362" s="56">
        <v>208.62</v>
      </c>
      <c r="M362" s="56">
        <v>208.62</v>
      </c>
      <c r="N362" s="56">
        <v>208.62</v>
      </c>
      <c r="O362" s="56">
        <v>208.62</v>
      </c>
      <c r="P362" s="56">
        <v>208.62</v>
      </c>
      <c r="Q362" s="56">
        <v>208.62</v>
      </c>
      <c r="R362" s="1">
        <v>1010000</v>
      </c>
      <c r="S362" s="1" t="s">
        <v>577</v>
      </c>
      <c r="V362" s="1" t="s">
        <v>579</v>
      </c>
      <c r="W362" s="1">
        <v>0</v>
      </c>
      <c r="X362" s="14"/>
    </row>
    <row r="363" spans="1:24" hidden="1" outlineLevel="1">
      <c r="A363" s="1" t="s">
        <v>590</v>
      </c>
      <c r="B363" s="28">
        <v>91000</v>
      </c>
      <c r="C363" s="28" t="s">
        <v>591</v>
      </c>
      <c r="E363" s="11"/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">
        <v>1010000</v>
      </c>
      <c r="S363" s="1" t="s">
        <v>577</v>
      </c>
      <c r="V363" s="1" t="s">
        <v>579</v>
      </c>
      <c r="W363" s="1">
        <v>0</v>
      </c>
      <c r="X363" s="14"/>
    </row>
    <row r="364" spans="1:24" hidden="1" outlineLevel="1">
      <c r="A364" s="1" t="s">
        <v>590</v>
      </c>
      <c r="B364" s="28">
        <v>91100</v>
      </c>
      <c r="C364" s="28" t="s">
        <v>592</v>
      </c>
      <c r="E364" s="11"/>
      <c r="F364" s="12">
        <v>1308.4750957854405</v>
      </c>
      <c r="G364" s="12">
        <v>1308.4750957854405</v>
      </c>
      <c r="H364" s="12">
        <v>1308.4750957854405</v>
      </c>
      <c r="I364" s="12">
        <v>1308.4750957854405</v>
      </c>
      <c r="J364" s="12">
        <v>1308.4750957854405</v>
      </c>
      <c r="K364" s="12">
        <v>1308.4750957854405</v>
      </c>
      <c r="L364" s="12">
        <v>1308.4750957854405</v>
      </c>
      <c r="M364" s="12">
        <v>1308.4750957854405</v>
      </c>
      <c r="N364" s="12">
        <v>1308.4750957854405</v>
      </c>
      <c r="O364" s="12">
        <v>1308.4750957854405</v>
      </c>
      <c r="P364" s="12">
        <v>1308.4750957854405</v>
      </c>
      <c r="Q364" s="12">
        <v>1308.4750957854405</v>
      </c>
      <c r="R364" s="1">
        <v>1010000</v>
      </c>
      <c r="S364" s="1" t="s">
        <v>577</v>
      </c>
      <c r="V364" s="1" t="s">
        <v>579</v>
      </c>
      <c r="W364" s="1">
        <v>0</v>
      </c>
      <c r="X364" s="14"/>
    </row>
    <row r="365" spans="1:24" hidden="1" outlineLevel="1">
      <c r="A365" s="1" t="s">
        <v>590</v>
      </c>
      <c r="B365" s="28">
        <v>91200</v>
      </c>
      <c r="C365" s="28" t="s">
        <v>440</v>
      </c>
      <c r="E365" s="11"/>
      <c r="F365" s="57">
        <v>149541.92214742239</v>
      </c>
      <c r="G365" s="57">
        <v>128138.60879414735</v>
      </c>
      <c r="H365" s="57">
        <v>301301.96210753894</v>
      </c>
      <c r="I365" s="57">
        <v>269898.64875426388</v>
      </c>
      <c r="J365" s="57">
        <v>444162.0020676555</v>
      </c>
      <c r="K365" s="57">
        <v>411508.68871438043</v>
      </c>
      <c r="L365" s="57">
        <v>385072.04202777206</v>
      </c>
      <c r="M365" s="57">
        <v>561868.72867449699</v>
      </c>
      <c r="N365" s="57">
        <v>519465.41532122192</v>
      </c>
      <c r="O365" s="57">
        <v>493628.76863461355</v>
      </c>
      <c r="P365" s="57">
        <v>667668.3124241957</v>
      </c>
      <c r="Q365" s="57">
        <v>641931.66573758738</v>
      </c>
      <c r="R365" s="1">
        <v>1010000</v>
      </c>
      <c r="S365" s="1" t="s">
        <v>577</v>
      </c>
      <c r="V365" s="1" t="s">
        <v>579</v>
      </c>
      <c r="W365" s="1">
        <v>0</v>
      </c>
      <c r="X365" s="14"/>
    </row>
    <row r="366" spans="1:24" hidden="1" outlineLevel="1">
      <c r="A366" s="1" t="s">
        <v>590</v>
      </c>
      <c r="B366" s="28">
        <v>91201</v>
      </c>
      <c r="C366" s="28" t="s">
        <v>593</v>
      </c>
      <c r="E366" s="11"/>
      <c r="F366" s="12">
        <v>2937.5019157088122</v>
      </c>
      <c r="G366" s="12">
        <v>2937.5019157088122</v>
      </c>
      <c r="H366" s="12">
        <v>2937.5019157088122</v>
      </c>
      <c r="I366" s="12">
        <v>2937.5019157088122</v>
      </c>
      <c r="J366" s="12">
        <v>2937.5019157088122</v>
      </c>
      <c r="K366" s="12">
        <v>2937.5019157088122</v>
      </c>
      <c r="L366" s="12">
        <v>2937.5019157088122</v>
      </c>
      <c r="M366" s="12">
        <v>2937.5019157088122</v>
      </c>
      <c r="N366" s="12">
        <v>2937.5019157088122</v>
      </c>
      <c r="O366" s="12">
        <v>2937.5019157088122</v>
      </c>
      <c r="P366" s="12">
        <v>2937.5019157088122</v>
      </c>
      <c r="Q366" s="12">
        <v>2937.5019157088122</v>
      </c>
      <c r="R366" s="1">
        <v>1010000</v>
      </c>
      <c r="S366" s="1" t="s">
        <v>577</v>
      </c>
      <c r="V366" s="1" t="s">
        <v>579</v>
      </c>
      <c r="W366" s="1">
        <v>0</v>
      </c>
      <c r="X366" s="14"/>
    </row>
    <row r="367" spans="1:24" hidden="1" outlineLevel="1">
      <c r="A367" s="1" t="s">
        <v>590</v>
      </c>
      <c r="B367" s="28">
        <v>91300</v>
      </c>
      <c r="C367" s="28" t="s">
        <v>594</v>
      </c>
      <c r="E367" s="11"/>
      <c r="F367" s="12">
        <v>154737.59386973182</v>
      </c>
      <c r="G367" s="12">
        <v>154737.59386973182</v>
      </c>
      <c r="H367" s="12">
        <v>154737.59386973182</v>
      </c>
      <c r="I367" s="12">
        <v>154737.59386973182</v>
      </c>
      <c r="J367" s="12">
        <v>154737.59386973182</v>
      </c>
      <c r="K367" s="12">
        <v>154737.59386973182</v>
      </c>
      <c r="L367" s="12">
        <v>154737.59386973182</v>
      </c>
      <c r="M367" s="12">
        <v>154737.59386973182</v>
      </c>
      <c r="N367" s="12">
        <v>154737.59386973182</v>
      </c>
      <c r="O367" s="12">
        <v>154737.59386973182</v>
      </c>
      <c r="P367" s="12">
        <v>154737.59386973182</v>
      </c>
      <c r="Q367" s="12">
        <v>154737.59386973182</v>
      </c>
      <c r="R367" s="1">
        <v>1010000</v>
      </c>
      <c r="S367" s="1" t="s">
        <v>577</v>
      </c>
      <c r="V367" s="1" t="s">
        <v>579</v>
      </c>
      <c r="W367" s="1">
        <v>0</v>
      </c>
      <c r="X367" s="14"/>
    </row>
    <row r="368" spans="1:24" hidden="1" outlineLevel="1">
      <c r="A368" s="1" t="s">
        <v>590</v>
      </c>
      <c r="B368" s="28">
        <v>91400</v>
      </c>
      <c r="C368" s="28" t="s">
        <v>595</v>
      </c>
      <c r="E368" s="11"/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">
        <v>1010000</v>
      </c>
      <c r="S368" s="1" t="s">
        <v>577</v>
      </c>
      <c r="V368" s="1" t="s">
        <v>578</v>
      </c>
      <c r="W368" s="1">
        <v>0</v>
      </c>
      <c r="X368" s="14"/>
    </row>
    <row r="369" spans="1:24" hidden="1" outlineLevel="1">
      <c r="A369" s="1" t="s">
        <v>590</v>
      </c>
      <c r="B369" s="28">
        <v>91500</v>
      </c>
      <c r="C369" s="28" t="s">
        <v>596</v>
      </c>
      <c r="E369" s="11"/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">
        <v>1010000</v>
      </c>
      <c r="S369" s="1" t="s">
        <v>577</v>
      </c>
      <c r="V369" s="1" t="s">
        <v>578</v>
      </c>
      <c r="W369" s="1">
        <v>0</v>
      </c>
      <c r="X369" s="14"/>
    </row>
    <row r="370" spans="1:24" hidden="1" outlineLevel="1">
      <c r="A370" s="1" t="s">
        <v>11</v>
      </c>
      <c r="B370" s="25">
        <v>1200</v>
      </c>
      <c r="C370" s="25" t="s">
        <v>18</v>
      </c>
      <c r="E370" s="11"/>
      <c r="F370" s="54">
        <v>822586.03285714285</v>
      </c>
      <c r="G370" s="54">
        <v>824252.6995238096</v>
      </c>
      <c r="H370" s="54">
        <v>825919.36619047611</v>
      </c>
      <c r="I370" s="54">
        <v>827586.03285714285</v>
      </c>
      <c r="J370" s="54">
        <v>829252.6995238096</v>
      </c>
      <c r="K370" s="54">
        <v>829252.6995238096</v>
      </c>
      <c r="L370" s="54">
        <v>829252.6995238096</v>
      </c>
      <c r="M370" s="54">
        <v>830086.03285714285</v>
      </c>
      <c r="N370" s="54">
        <v>831752.6995238096</v>
      </c>
      <c r="O370" s="54">
        <v>833419.36619047611</v>
      </c>
      <c r="P370" s="54">
        <v>837586.03285714309</v>
      </c>
      <c r="Q370" s="54">
        <v>840919.36619047611</v>
      </c>
      <c r="R370" s="1">
        <v>1020000</v>
      </c>
      <c r="S370" s="1" t="s">
        <v>597</v>
      </c>
      <c r="V370" s="1" t="s">
        <v>598</v>
      </c>
      <c r="W370" s="1">
        <v>0</v>
      </c>
    </row>
    <row r="371" spans="1:24" hidden="1" outlineLevel="1">
      <c r="A371" s="1" t="s">
        <v>11</v>
      </c>
      <c r="B371" s="25">
        <v>1201</v>
      </c>
      <c r="C371" s="25" t="s">
        <v>599</v>
      </c>
      <c r="E371" s="11"/>
      <c r="F371" s="12">
        <v>-1765</v>
      </c>
      <c r="G371" s="12">
        <v>-1765</v>
      </c>
      <c r="H371" s="12">
        <v>-1765</v>
      </c>
      <c r="I371" s="12">
        <v>-1765</v>
      </c>
      <c r="J371" s="12">
        <v>-1765</v>
      </c>
      <c r="K371" s="12">
        <v>-1765</v>
      </c>
      <c r="L371" s="12">
        <v>-1765</v>
      </c>
      <c r="M371" s="12">
        <v>-1765</v>
      </c>
      <c r="N371" s="12">
        <v>-1765</v>
      </c>
      <c r="O371" s="12">
        <v>-1765</v>
      </c>
      <c r="P371" s="12">
        <v>-1765</v>
      </c>
      <c r="Q371" s="12">
        <v>-1765</v>
      </c>
      <c r="R371" s="1">
        <v>1020000</v>
      </c>
      <c r="S371" s="1" t="s">
        <v>597</v>
      </c>
      <c r="V371" s="1" t="s">
        <v>598</v>
      </c>
      <c r="W371" s="1">
        <v>0</v>
      </c>
    </row>
    <row r="372" spans="1:24" hidden="1" outlineLevel="1">
      <c r="A372" s="1" t="s">
        <v>11</v>
      </c>
      <c r="B372" s="25">
        <v>1202</v>
      </c>
      <c r="C372" s="25" t="s">
        <v>600</v>
      </c>
      <c r="E372" s="11"/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">
        <v>1030000</v>
      </c>
      <c r="S372" s="1" t="s">
        <v>601</v>
      </c>
      <c r="V372" s="1" t="s">
        <v>602</v>
      </c>
      <c r="W372" s="1">
        <v>0</v>
      </c>
    </row>
    <row r="373" spans="1:24" hidden="1" outlineLevel="1">
      <c r="A373" s="1" t="s">
        <v>590</v>
      </c>
      <c r="B373" s="28">
        <v>91700</v>
      </c>
      <c r="C373" s="28" t="s">
        <v>46</v>
      </c>
      <c r="E373" s="11"/>
      <c r="F373" s="57">
        <v>170319.37821565408</v>
      </c>
      <c r="G373" s="57">
        <v>237128.9020251779</v>
      </c>
      <c r="H373" s="57">
        <v>103938.42583470175</v>
      </c>
      <c r="I373" s="57">
        <v>170747.94964422556</v>
      </c>
      <c r="J373" s="57">
        <v>37557.473453749379</v>
      </c>
      <c r="K373" s="57">
        <v>104366.9972632732</v>
      </c>
      <c r="L373" s="57">
        <v>171176.52107279701</v>
      </c>
      <c r="M373" s="57">
        <v>37986.044882320828</v>
      </c>
      <c r="N373" s="57">
        <v>104795.56869184464</v>
      </c>
      <c r="O373" s="57">
        <v>171605.09250136846</v>
      </c>
      <c r="P373" s="57">
        <v>38414.616310892277</v>
      </c>
      <c r="Q373" s="57">
        <v>105224.14012041609</v>
      </c>
      <c r="R373" s="1">
        <v>1020000</v>
      </c>
      <c r="S373" s="1" t="s">
        <v>597</v>
      </c>
      <c r="V373" s="1" t="s">
        <v>598</v>
      </c>
      <c r="W373" s="1">
        <v>0</v>
      </c>
      <c r="X373" s="14"/>
    </row>
    <row r="374" spans="1:24" hidden="1" outlineLevel="1">
      <c r="A374" s="1" t="s">
        <v>590</v>
      </c>
      <c r="B374" s="28">
        <v>91703</v>
      </c>
      <c r="C374" s="28" t="s">
        <v>603</v>
      </c>
      <c r="E374" s="11"/>
      <c r="F374" s="12">
        <v>-6772.7662835249039</v>
      </c>
      <c r="G374" s="12">
        <v>-6772.7662835249039</v>
      </c>
      <c r="H374" s="12">
        <v>-6772.7662835249039</v>
      </c>
      <c r="I374" s="12">
        <v>-6772.7662835249039</v>
      </c>
      <c r="J374" s="12">
        <v>-6772.7662835249039</v>
      </c>
      <c r="K374" s="12">
        <v>-6772.7662835249039</v>
      </c>
      <c r="L374" s="12">
        <v>-6772.7662835249039</v>
      </c>
      <c r="M374" s="12">
        <v>-6772.7662835249039</v>
      </c>
      <c r="N374" s="12">
        <v>-6772.7662835249039</v>
      </c>
      <c r="O374" s="12">
        <v>-6772.7662835249039</v>
      </c>
      <c r="P374" s="12">
        <v>-6772.7662835249039</v>
      </c>
      <c r="Q374" s="12">
        <v>-6772.7662835249039</v>
      </c>
      <c r="R374" s="1">
        <v>1030000</v>
      </c>
      <c r="S374" s="1" t="s">
        <v>601</v>
      </c>
      <c r="V374" s="1" t="s">
        <v>602</v>
      </c>
      <c r="W374" s="1">
        <v>0</v>
      </c>
      <c r="X374" s="14"/>
    </row>
    <row r="375" spans="1:24" hidden="1" outlineLevel="1">
      <c r="A375" s="1" t="s">
        <v>590</v>
      </c>
      <c r="B375" s="28">
        <v>91701</v>
      </c>
      <c r="C375" s="28" t="s">
        <v>604</v>
      </c>
      <c r="E375" s="11"/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">
        <v>1030000</v>
      </c>
      <c r="S375" s="1" t="s">
        <v>601</v>
      </c>
      <c r="V375" s="1" t="s">
        <v>602</v>
      </c>
      <c r="W375" s="1">
        <v>0</v>
      </c>
      <c r="X375" s="14"/>
    </row>
    <row r="376" spans="1:24" hidden="1" outlineLevel="1">
      <c r="A376" s="1" t="s">
        <v>590</v>
      </c>
      <c r="B376" s="28">
        <v>91702</v>
      </c>
      <c r="C376" s="28" t="s">
        <v>605</v>
      </c>
      <c r="E376" s="11"/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">
        <v>1020000</v>
      </c>
      <c r="S376" s="1" t="s">
        <v>597</v>
      </c>
      <c r="V376" s="1" t="s">
        <v>598</v>
      </c>
      <c r="W376" s="1">
        <v>0</v>
      </c>
      <c r="X376" s="14"/>
    </row>
    <row r="377" spans="1:24" hidden="1" outlineLevel="1">
      <c r="A377" s="1" t="s">
        <v>11</v>
      </c>
      <c r="B377" s="25">
        <v>1400</v>
      </c>
      <c r="C377" s="25" t="s">
        <v>71</v>
      </c>
      <c r="E377" s="11"/>
      <c r="F377" s="54">
        <v>626911.24285714282</v>
      </c>
      <c r="G377" s="54">
        <v>626911.24285714282</v>
      </c>
      <c r="H377" s="54">
        <v>626911.24285714282</v>
      </c>
      <c r="I377" s="54">
        <v>626911.24285714282</v>
      </c>
      <c r="J377" s="54">
        <v>626911.24285714282</v>
      </c>
      <c r="K377" s="54">
        <v>626911.24285714282</v>
      </c>
      <c r="L377" s="54">
        <v>626911.24285714282</v>
      </c>
      <c r="M377" s="54">
        <v>626911.24285714282</v>
      </c>
      <c r="N377" s="54">
        <v>626911.24285714282</v>
      </c>
      <c r="O377" s="54">
        <v>626911.24285714282</v>
      </c>
      <c r="P377" s="54">
        <v>626911.24285714282</v>
      </c>
      <c r="Q377" s="54">
        <v>626911.24285714282</v>
      </c>
      <c r="R377" s="1">
        <v>1070000</v>
      </c>
      <c r="S377" s="1" t="s">
        <v>607</v>
      </c>
      <c r="V377" s="1" t="s">
        <v>606</v>
      </c>
      <c r="W377" s="1">
        <v>0</v>
      </c>
    </row>
    <row r="378" spans="1:24" hidden="1" outlineLevel="1">
      <c r="A378" s="1" t="s">
        <v>11</v>
      </c>
      <c r="B378" s="25">
        <v>1418</v>
      </c>
      <c r="C378" s="25" t="s">
        <v>80</v>
      </c>
      <c r="E378" s="11"/>
      <c r="F378" s="54">
        <v>55365.488095238092</v>
      </c>
      <c r="G378" s="54">
        <v>55365.488095238092</v>
      </c>
      <c r="H378" s="54">
        <v>55365.488095238092</v>
      </c>
      <c r="I378" s="54">
        <v>55365.488095238092</v>
      </c>
      <c r="J378" s="54">
        <v>55365.488095238092</v>
      </c>
      <c r="K378" s="54">
        <v>55365.488095238092</v>
      </c>
      <c r="L378" s="54">
        <v>55365.488095238092</v>
      </c>
      <c r="M378" s="54">
        <v>55365.488095238092</v>
      </c>
      <c r="N378" s="54">
        <v>55365.488095238092</v>
      </c>
      <c r="O378" s="54">
        <v>55365.488095238092</v>
      </c>
      <c r="P378" s="54">
        <v>55365.488095238092</v>
      </c>
      <c r="Q378" s="54">
        <v>55365.488095238092</v>
      </c>
      <c r="R378" s="1">
        <v>1070000</v>
      </c>
      <c r="S378" s="1" t="s">
        <v>607</v>
      </c>
      <c r="V378" s="1" t="s">
        <v>608</v>
      </c>
      <c r="W378" s="1">
        <v>0</v>
      </c>
    </row>
    <row r="379" spans="1:24" hidden="1" outlineLevel="1">
      <c r="A379" s="1" t="s">
        <v>11</v>
      </c>
      <c r="B379" s="25">
        <v>1411</v>
      </c>
      <c r="C379" s="25" t="s">
        <v>94</v>
      </c>
      <c r="E379" s="11"/>
      <c r="F379" s="54">
        <v>36028.721428571429</v>
      </c>
      <c r="G379" s="54">
        <v>36028.721428571429</v>
      </c>
      <c r="H379" s="54">
        <v>36028.721428571429</v>
      </c>
      <c r="I379" s="54">
        <v>36028.721428571429</v>
      </c>
      <c r="J379" s="54">
        <v>36028.721428571429</v>
      </c>
      <c r="K379" s="54">
        <v>36028.721428571429</v>
      </c>
      <c r="L379" s="54">
        <v>36028.721428571429</v>
      </c>
      <c r="M379" s="54">
        <v>36028.721428571429</v>
      </c>
      <c r="N379" s="54">
        <v>36028.721428571429</v>
      </c>
      <c r="O379" s="54">
        <v>36028.721428571429</v>
      </c>
      <c r="P379" s="54">
        <v>36028.721428571429</v>
      </c>
      <c r="Q379" s="54">
        <v>36028.721428571429</v>
      </c>
      <c r="R379" s="1">
        <v>1070000</v>
      </c>
      <c r="S379" s="1" t="s">
        <v>607</v>
      </c>
      <c r="V379" s="1" t="s">
        <v>608</v>
      </c>
      <c r="W379" s="1">
        <v>0</v>
      </c>
    </row>
    <row r="380" spans="1:24" hidden="1" outlineLevel="1">
      <c r="A380" s="1" t="s">
        <v>11</v>
      </c>
      <c r="B380" s="25">
        <v>1420</v>
      </c>
      <c r="C380" s="25" t="s">
        <v>102</v>
      </c>
      <c r="E380" s="11"/>
      <c r="F380" s="54">
        <v>0</v>
      </c>
      <c r="G380" s="54">
        <v>0</v>
      </c>
      <c r="H380" s="54">
        <v>0</v>
      </c>
      <c r="I380" s="54">
        <v>0</v>
      </c>
      <c r="J380" s="54">
        <v>0</v>
      </c>
      <c r="K380" s="54">
        <v>0</v>
      </c>
      <c r="L380" s="54">
        <v>0</v>
      </c>
      <c r="M380" s="54">
        <v>0</v>
      </c>
      <c r="N380" s="54">
        <v>0</v>
      </c>
      <c r="O380" s="54">
        <v>0</v>
      </c>
      <c r="P380" s="54">
        <v>0</v>
      </c>
      <c r="Q380" s="54">
        <v>0</v>
      </c>
      <c r="R380" s="1">
        <v>1070000</v>
      </c>
      <c r="S380" s="1" t="s">
        <v>607</v>
      </c>
      <c r="V380" s="1" t="s">
        <v>608</v>
      </c>
      <c r="W380" s="1">
        <v>0</v>
      </c>
    </row>
    <row r="381" spans="1:24" hidden="1" outlineLevel="1">
      <c r="A381" s="1" t="s">
        <v>11</v>
      </c>
      <c r="B381" s="25">
        <v>1422</v>
      </c>
      <c r="C381" s="25" t="s">
        <v>86</v>
      </c>
      <c r="E381" s="11"/>
      <c r="F381" s="54">
        <v>0</v>
      </c>
      <c r="G381" s="54">
        <v>0</v>
      </c>
      <c r="H381" s="54">
        <v>0</v>
      </c>
      <c r="I381" s="54">
        <v>0</v>
      </c>
      <c r="J381" s="54">
        <v>0</v>
      </c>
      <c r="K381" s="54">
        <v>0</v>
      </c>
      <c r="L381" s="54">
        <v>0</v>
      </c>
      <c r="M381" s="54">
        <v>0</v>
      </c>
      <c r="N381" s="54">
        <v>0</v>
      </c>
      <c r="O381" s="54">
        <v>0</v>
      </c>
      <c r="P381" s="54">
        <v>0</v>
      </c>
      <c r="Q381" s="54">
        <v>0</v>
      </c>
      <c r="R381" s="1">
        <v>1070000</v>
      </c>
      <c r="S381" s="1" t="s">
        <v>607</v>
      </c>
      <c r="V381" s="1" t="s">
        <v>608</v>
      </c>
      <c r="W381" s="1">
        <v>0</v>
      </c>
    </row>
    <row r="382" spans="1:24" hidden="1" outlineLevel="1">
      <c r="A382" s="1" t="s">
        <v>11</v>
      </c>
      <c r="B382" s="25">
        <v>1425</v>
      </c>
      <c r="C382" s="25" t="s">
        <v>90</v>
      </c>
      <c r="E382" s="11"/>
      <c r="F382" s="54">
        <v>3157</v>
      </c>
      <c r="G382" s="54">
        <v>3157</v>
      </c>
      <c r="H382" s="54">
        <v>3157</v>
      </c>
      <c r="I382" s="54">
        <v>3157</v>
      </c>
      <c r="J382" s="54">
        <v>3157</v>
      </c>
      <c r="K382" s="54">
        <v>3157</v>
      </c>
      <c r="L382" s="54">
        <v>3157</v>
      </c>
      <c r="M382" s="54">
        <v>3157</v>
      </c>
      <c r="N382" s="54">
        <v>3157</v>
      </c>
      <c r="O382" s="54">
        <v>3157</v>
      </c>
      <c r="P382" s="54">
        <v>3157</v>
      </c>
      <c r="Q382" s="54">
        <v>3157</v>
      </c>
      <c r="R382" s="1">
        <v>1070000</v>
      </c>
      <c r="S382" s="1" t="s">
        <v>607</v>
      </c>
      <c r="V382" s="1" t="s">
        <v>608</v>
      </c>
      <c r="W382" s="1">
        <v>0</v>
      </c>
    </row>
    <row r="383" spans="1:24" hidden="1" outlineLevel="1">
      <c r="A383" s="1" t="s">
        <v>11</v>
      </c>
      <c r="B383" s="25">
        <v>1430</v>
      </c>
      <c r="C383" s="25" t="s">
        <v>114</v>
      </c>
      <c r="E383" s="11"/>
      <c r="F383" s="54">
        <v>94314</v>
      </c>
      <c r="G383" s="54">
        <v>94314</v>
      </c>
      <c r="H383" s="54">
        <v>94314</v>
      </c>
      <c r="I383" s="54">
        <v>94314</v>
      </c>
      <c r="J383" s="54">
        <v>94314</v>
      </c>
      <c r="K383" s="54">
        <v>94314</v>
      </c>
      <c r="L383" s="54">
        <v>94314</v>
      </c>
      <c r="M383" s="54">
        <v>94314</v>
      </c>
      <c r="N383" s="54">
        <v>94314</v>
      </c>
      <c r="O383" s="54">
        <v>94314</v>
      </c>
      <c r="P383" s="54">
        <v>94314</v>
      </c>
      <c r="Q383" s="54">
        <v>94314</v>
      </c>
      <c r="R383" s="1">
        <v>1070000</v>
      </c>
      <c r="S383" s="1" t="s">
        <v>607</v>
      </c>
      <c r="V383" s="1" t="s">
        <v>609</v>
      </c>
      <c r="W383" s="1">
        <v>0</v>
      </c>
    </row>
    <row r="384" spans="1:24" hidden="1" outlineLevel="1">
      <c r="A384" s="1" t="s">
        <v>11</v>
      </c>
      <c r="B384" s="25">
        <v>1432</v>
      </c>
      <c r="C384" s="25" t="s">
        <v>106</v>
      </c>
      <c r="E384" s="11"/>
      <c r="F384" s="54">
        <v>27949.785714285714</v>
      </c>
      <c r="G384" s="54">
        <v>27949.785714285714</v>
      </c>
      <c r="H384" s="54">
        <v>27949.785714285714</v>
      </c>
      <c r="I384" s="54">
        <v>27949.785714285714</v>
      </c>
      <c r="J384" s="54">
        <v>27949.785714285714</v>
      </c>
      <c r="K384" s="54">
        <v>27949.785714285714</v>
      </c>
      <c r="L384" s="54">
        <v>27949.785714285714</v>
      </c>
      <c r="M384" s="54">
        <v>27949.785714285714</v>
      </c>
      <c r="N384" s="54">
        <v>27949.785714285714</v>
      </c>
      <c r="O384" s="54">
        <v>27949.785714285714</v>
      </c>
      <c r="P384" s="54">
        <v>27949.785714285714</v>
      </c>
      <c r="Q384" s="54">
        <v>27949.785714285714</v>
      </c>
      <c r="R384" s="1">
        <v>1070000</v>
      </c>
      <c r="S384" s="1" t="s">
        <v>607</v>
      </c>
      <c r="V384" s="1" t="s">
        <v>608</v>
      </c>
      <c r="W384" s="1">
        <v>0</v>
      </c>
    </row>
    <row r="385" spans="1:24" hidden="1" outlineLevel="1">
      <c r="A385" s="1" t="s">
        <v>11</v>
      </c>
      <c r="B385" s="25">
        <v>1440</v>
      </c>
      <c r="C385" s="25" t="s">
        <v>98</v>
      </c>
      <c r="E385" s="11"/>
      <c r="F385" s="54">
        <v>60309</v>
      </c>
      <c r="G385" s="54">
        <v>60309</v>
      </c>
      <c r="H385" s="54">
        <v>60309</v>
      </c>
      <c r="I385" s="54">
        <v>60309</v>
      </c>
      <c r="J385" s="54">
        <v>60309</v>
      </c>
      <c r="K385" s="54">
        <v>60309</v>
      </c>
      <c r="L385" s="54">
        <v>60309</v>
      </c>
      <c r="M385" s="54">
        <v>60309</v>
      </c>
      <c r="N385" s="54">
        <v>60309</v>
      </c>
      <c r="O385" s="54">
        <v>60309</v>
      </c>
      <c r="P385" s="54">
        <v>60309</v>
      </c>
      <c r="Q385" s="54">
        <v>60309</v>
      </c>
      <c r="R385" s="1">
        <v>1070000</v>
      </c>
      <c r="S385" s="1" t="s">
        <v>607</v>
      </c>
      <c r="V385" s="1" t="s">
        <v>609</v>
      </c>
      <c r="W385" s="1">
        <v>0</v>
      </c>
    </row>
    <row r="386" spans="1:24" hidden="1" outlineLevel="1">
      <c r="A386" s="1" t="s">
        <v>590</v>
      </c>
      <c r="B386" s="28">
        <v>91900</v>
      </c>
      <c r="C386" s="28" t="s">
        <v>148</v>
      </c>
      <c r="E386" s="11"/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">
        <v>1070000</v>
      </c>
      <c r="S386" s="1" t="s">
        <v>607</v>
      </c>
      <c r="V386" s="1" t="s">
        <v>606</v>
      </c>
      <c r="W386" s="1">
        <v>0</v>
      </c>
      <c r="X386" s="14"/>
    </row>
    <row r="387" spans="1:24" hidden="1" outlineLevel="1">
      <c r="A387" s="1" t="s">
        <v>590</v>
      </c>
      <c r="B387" s="28">
        <v>91901</v>
      </c>
      <c r="C387" s="28" t="s">
        <v>161</v>
      </c>
      <c r="E387" s="11"/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">
        <v>1070000</v>
      </c>
      <c r="S387" s="1" t="s">
        <v>607</v>
      </c>
      <c r="V387" s="1" t="s">
        <v>606</v>
      </c>
      <c r="W387" s="1">
        <v>0</v>
      </c>
      <c r="X387" s="14"/>
    </row>
    <row r="388" spans="1:24" hidden="1" outlineLevel="1">
      <c r="A388" s="1" t="s">
        <v>590</v>
      </c>
      <c r="B388" s="28">
        <v>91902</v>
      </c>
      <c r="C388" s="28" t="s">
        <v>164</v>
      </c>
      <c r="E388" s="11"/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">
        <v>1070000</v>
      </c>
      <c r="S388" s="1" t="s">
        <v>607</v>
      </c>
      <c r="V388" s="1" t="s">
        <v>606</v>
      </c>
      <c r="W388" s="1">
        <v>0</v>
      </c>
      <c r="X388" s="14"/>
    </row>
    <row r="389" spans="1:24" hidden="1" outlineLevel="1">
      <c r="A389" s="1" t="s">
        <v>590</v>
      </c>
      <c r="B389" s="28">
        <v>91903</v>
      </c>
      <c r="C389" s="28" t="s">
        <v>166</v>
      </c>
      <c r="E389" s="11"/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">
        <v>1070000</v>
      </c>
      <c r="S389" s="1" t="s">
        <v>607</v>
      </c>
      <c r="V389" s="1" t="s">
        <v>606</v>
      </c>
      <c r="W389" s="1">
        <v>0</v>
      </c>
      <c r="X389" s="14"/>
    </row>
    <row r="390" spans="1:24" hidden="1" outlineLevel="1">
      <c r="A390" s="1" t="s">
        <v>590</v>
      </c>
      <c r="B390" s="28">
        <v>91904</v>
      </c>
      <c r="C390" s="28" t="s">
        <v>168</v>
      </c>
      <c r="E390" s="11"/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">
        <v>1070000</v>
      </c>
      <c r="S390" s="1" t="s">
        <v>607</v>
      </c>
      <c r="V390" s="1" t="s">
        <v>606</v>
      </c>
      <c r="W390" s="1">
        <v>0</v>
      </c>
      <c r="X390" s="14"/>
    </row>
    <row r="391" spans="1:24" hidden="1" outlineLevel="1">
      <c r="A391" s="1" t="s">
        <v>590</v>
      </c>
      <c r="B391" s="28">
        <v>91907</v>
      </c>
      <c r="C391" s="28" t="s">
        <v>170</v>
      </c>
      <c r="E391" s="11"/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">
        <v>1070000</v>
      </c>
      <c r="S391" s="1" t="s">
        <v>607</v>
      </c>
      <c r="V391" s="1" t="s">
        <v>606</v>
      </c>
      <c r="W391" s="1">
        <v>0</v>
      </c>
      <c r="X391" s="14"/>
    </row>
    <row r="392" spans="1:24" hidden="1" outlineLevel="1">
      <c r="A392" s="1" t="s">
        <v>590</v>
      </c>
      <c r="B392" s="28">
        <v>91908</v>
      </c>
      <c r="C392" s="28" t="s">
        <v>172</v>
      </c>
      <c r="E392" s="11"/>
      <c r="F392" s="12">
        <v>16601.441160372196</v>
      </c>
      <c r="G392" s="12">
        <v>12905.012588943624</v>
      </c>
      <c r="H392" s="12">
        <v>9208.5840175150515</v>
      </c>
      <c r="I392" s="12">
        <v>5512.15544608648</v>
      </c>
      <c r="J392" s="12">
        <v>1815.7268746579084</v>
      </c>
      <c r="K392" s="12">
        <v>-1880.7016967706631</v>
      </c>
      <c r="L392" s="12">
        <v>-5577.1302681992347</v>
      </c>
      <c r="M392" s="12">
        <v>-9273.5588396278072</v>
      </c>
      <c r="N392" s="12">
        <v>-12969.98741105638</v>
      </c>
      <c r="O392" s="12">
        <v>-16666.415982484952</v>
      </c>
      <c r="P392" s="12">
        <v>-20362.844553913525</v>
      </c>
      <c r="Q392" s="12">
        <v>-24059.273125342097</v>
      </c>
      <c r="R392" s="1">
        <v>1070000</v>
      </c>
      <c r="S392" s="1" t="s">
        <v>607</v>
      </c>
      <c r="V392" s="1" t="s">
        <v>606</v>
      </c>
      <c r="W392" s="1">
        <v>0</v>
      </c>
      <c r="X392" s="14"/>
    </row>
    <row r="393" spans="1:24" hidden="1" outlineLevel="1">
      <c r="A393" s="1" t="s">
        <v>590</v>
      </c>
      <c r="B393" s="28">
        <v>91909</v>
      </c>
      <c r="C393" s="28" t="s">
        <v>151</v>
      </c>
      <c r="E393" s="11"/>
      <c r="F393" s="12">
        <v>-2464.2857142857147</v>
      </c>
      <c r="G393" s="12">
        <v>-4928.5714285714294</v>
      </c>
      <c r="H393" s="12">
        <v>-7392.857142857144</v>
      </c>
      <c r="I393" s="12">
        <v>-9857.1428571428587</v>
      </c>
      <c r="J393" s="12">
        <v>-12321.428571428572</v>
      </c>
      <c r="K393" s="12">
        <v>-14785.714285714286</v>
      </c>
      <c r="L393" s="12">
        <v>-17250</v>
      </c>
      <c r="M393" s="12">
        <v>-19714.285714285714</v>
      </c>
      <c r="N393" s="12">
        <v>-22178.571428571428</v>
      </c>
      <c r="O393" s="12">
        <v>-24642.857142857141</v>
      </c>
      <c r="P393" s="12">
        <v>-27107.142857142855</v>
      </c>
      <c r="Q393" s="12">
        <v>-29571.428571428569</v>
      </c>
      <c r="R393" s="1">
        <v>1070000</v>
      </c>
      <c r="S393" s="1" t="s">
        <v>607</v>
      </c>
      <c r="V393" s="1" t="s">
        <v>606</v>
      </c>
      <c r="W393" s="1">
        <v>0</v>
      </c>
      <c r="X393" s="14"/>
    </row>
    <row r="394" spans="1:24" hidden="1" outlineLevel="1">
      <c r="A394" s="1" t="s">
        <v>590</v>
      </c>
      <c r="B394" s="28">
        <v>91910</v>
      </c>
      <c r="C394" s="28" t="s">
        <v>610</v>
      </c>
      <c r="E394" s="11"/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">
        <v>1070000</v>
      </c>
      <c r="S394" s="1" t="s">
        <v>607</v>
      </c>
      <c r="V394" s="1" t="s">
        <v>608</v>
      </c>
      <c r="X394" s="14"/>
    </row>
    <row r="395" spans="1:24" hidden="1" outlineLevel="1">
      <c r="A395" s="1" t="s">
        <v>590</v>
      </c>
      <c r="B395" s="28">
        <v>91920</v>
      </c>
      <c r="C395" s="28" t="s">
        <v>155</v>
      </c>
      <c r="E395" s="11"/>
      <c r="F395" s="12">
        <v>220660.78270388619</v>
      </c>
      <c r="G395" s="12">
        <v>213267.92556102906</v>
      </c>
      <c r="H395" s="12">
        <v>205875.06841817193</v>
      </c>
      <c r="I395" s="12">
        <v>198482.2112753148</v>
      </c>
      <c r="J395" s="12">
        <v>191089.35413245767</v>
      </c>
      <c r="K395" s="12">
        <v>183696.49698960054</v>
      </c>
      <c r="L395" s="12">
        <v>176303.6398467434</v>
      </c>
      <c r="M395" s="12">
        <v>168910.78270388627</v>
      </c>
      <c r="N395" s="12">
        <v>161517.92556102914</v>
      </c>
      <c r="O395" s="12">
        <v>154125.06841817201</v>
      </c>
      <c r="P395" s="12">
        <v>146732.21127531488</v>
      </c>
      <c r="Q395" s="12">
        <v>139339.35413245775</v>
      </c>
      <c r="R395" s="1">
        <v>1070000</v>
      </c>
      <c r="S395" s="1" t="s">
        <v>607</v>
      </c>
      <c r="V395" s="1" t="s">
        <v>606</v>
      </c>
      <c r="W395" s="1">
        <v>0</v>
      </c>
      <c r="X395" s="14"/>
    </row>
    <row r="396" spans="1:24" hidden="1" outlineLevel="1">
      <c r="A396" s="1" t="s">
        <v>590</v>
      </c>
      <c r="B396" s="28">
        <v>91950</v>
      </c>
      <c r="C396" s="28" t="s">
        <v>153</v>
      </c>
      <c r="E396" s="11"/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">
        <v>1070000</v>
      </c>
      <c r="S396" s="1" t="s">
        <v>607</v>
      </c>
      <c r="V396" s="1" t="s">
        <v>606</v>
      </c>
      <c r="W396" s="1">
        <v>0</v>
      </c>
      <c r="X396" s="14"/>
    </row>
    <row r="397" spans="1:24" hidden="1" outlineLevel="1">
      <c r="A397" s="1" t="s">
        <v>590</v>
      </c>
      <c r="B397" s="28">
        <v>91951</v>
      </c>
      <c r="C397" s="28" t="s">
        <v>157</v>
      </c>
      <c r="E397" s="11"/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">
        <v>1070000</v>
      </c>
      <c r="S397" s="1" t="s">
        <v>607</v>
      </c>
      <c r="V397" s="1" t="s">
        <v>606</v>
      </c>
      <c r="W397" s="1">
        <v>0</v>
      </c>
      <c r="X397" s="14"/>
    </row>
    <row r="398" spans="1:24" hidden="1" outlineLevel="1">
      <c r="A398" s="1" t="s">
        <v>590</v>
      </c>
      <c r="B398" s="28">
        <v>91999</v>
      </c>
      <c r="C398" s="28" t="s">
        <v>611</v>
      </c>
      <c r="E398" s="11"/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">
        <v>1070000</v>
      </c>
      <c r="S398" s="1" t="s">
        <v>607</v>
      </c>
      <c r="V398" s="1" t="s">
        <v>608</v>
      </c>
      <c r="W398" s="1">
        <v>0</v>
      </c>
      <c r="X398" s="14"/>
    </row>
    <row r="399" spans="1:24" hidden="1" outlineLevel="1">
      <c r="A399" s="1" t="s">
        <v>590</v>
      </c>
      <c r="B399" s="28">
        <v>99999</v>
      </c>
      <c r="C399" s="28" t="s">
        <v>612</v>
      </c>
      <c r="E399" s="11"/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">
        <v>1070000</v>
      </c>
      <c r="S399" s="1" t="s">
        <v>607</v>
      </c>
      <c r="V399" s="1" t="s">
        <v>608</v>
      </c>
      <c r="W399" s="1">
        <v>0</v>
      </c>
      <c r="X399" s="14"/>
    </row>
    <row r="400" spans="1:24" hidden="1" outlineLevel="1">
      <c r="A400" s="1" t="s">
        <v>590</v>
      </c>
      <c r="B400" s="28">
        <v>91911</v>
      </c>
      <c r="C400" s="28" t="s">
        <v>613</v>
      </c>
      <c r="E400" s="11"/>
      <c r="F400" s="12">
        <v>0</v>
      </c>
      <c r="G400" s="12"/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">
        <v>1070000</v>
      </c>
      <c r="S400" s="1" t="s">
        <v>607</v>
      </c>
      <c r="V400" s="1" t="s">
        <v>614</v>
      </c>
      <c r="W400" s="1">
        <v>0</v>
      </c>
      <c r="X400" s="14"/>
    </row>
    <row r="401" spans="1:24" hidden="1" outlineLevel="1">
      <c r="A401" s="1" t="s">
        <v>590</v>
      </c>
      <c r="B401" s="28">
        <v>92100</v>
      </c>
      <c r="C401" s="28" t="s">
        <v>615</v>
      </c>
      <c r="E401" s="11"/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">
        <v>1070000</v>
      </c>
      <c r="S401" s="1" t="s">
        <v>607</v>
      </c>
      <c r="V401" s="1" t="s">
        <v>608</v>
      </c>
      <c r="W401" s="1">
        <v>0</v>
      </c>
      <c r="X401" s="14"/>
    </row>
    <row r="402" spans="1:24" hidden="1" outlineLevel="1">
      <c r="A402" s="1" t="s">
        <v>590</v>
      </c>
      <c r="B402" s="28">
        <v>94500</v>
      </c>
      <c r="C402" s="28" t="s">
        <v>616</v>
      </c>
      <c r="E402" s="11"/>
      <c r="F402" s="12">
        <v>10133.088122605364</v>
      </c>
      <c r="G402" s="12">
        <v>10133.088122605364</v>
      </c>
      <c r="H402" s="12">
        <v>10133.088122605364</v>
      </c>
      <c r="I402" s="12">
        <v>10133.088122605364</v>
      </c>
      <c r="J402" s="12">
        <v>10133.088122605364</v>
      </c>
      <c r="K402" s="12">
        <v>10133.088122605364</v>
      </c>
      <c r="L402" s="12">
        <v>10133.088122605364</v>
      </c>
      <c r="M402" s="12">
        <v>10133.088122605364</v>
      </c>
      <c r="N402" s="12">
        <v>10133.088122605364</v>
      </c>
      <c r="O402" s="12">
        <v>10133.088122605364</v>
      </c>
      <c r="P402" s="12">
        <v>10133.088122605364</v>
      </c>
      <c r="Q402" s="12">
        <v>10133.088122605364</v>
      </c>
      <c r="R402" s="1">
        <v>1080000</v>
      </c>
      <c r="S402" s="1" t="s">
        <v>618</v>
      </c>
      <c r="V402" s="1" t="s">
        <v>617</v>
      </c>
      <c r="W402" s="1">
        <v>0</v>
      </c>
      <c r="X402" s="14"/>
    </row>
    <row r="403" spans="1:24" hidden="1" outlineLevel="1">
      <c r="A403" s="1" t="s">
        <v>590</v>
      </c>
      <c r="B403" s="28">
        <v>99998</v>
      </c>
      <c r="C403" s="28" t="s">
        <v>619</v>
      </c>
      <c r="E403" s="11"/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">
        <v>1070000</v>
      </c>
      <c r="S403" s="1" t="s">
        <v>607</v>
      </c>
      <c r="V403" s="1" t="s">
        <v>608</v>
      </c>
      <c r="W403" s="1">
        <v>0</v>
      </c>
      <c r="X403" s="14"/>
    </row>
    <row r="404" spans="1:24" hidden="1" outlineLevel="1">
      <c r="A404" s="1" t="s">
        <v>11</v>
      </c>
      <c r="B404" s="25">
        <v>1490</v>
      </c>
      <c r="C404" s="25" t="s">
        <v>620</v>
      </c>
      <c r="E404" s="11"/>
      <c r="F404" s="12">
        <v>11020</v>
      </c>
      <c r="G404" s="12">
        <v>11020</v>
      </c>
      <c r="H404" s="12">
        <v>11020</v>
      </c>
      <c r="I404" s="12">
        <v>11020</v>
      </c>
      <c r="J404" s="12">
        <v>11020</v>
      </c>
      <c r="K404" s="12">
        <v>11020</v>
      </c>
      <c r="L404" s="12">
        <v>11020</v>
      </c>
      <c r="M404" s="12">
        <v>11020</v>
      </c>
      <c r="N404" s="12">
        <v>11020</v>
      </c>
      <c r="O404" s="12">
        <v>11020</v>
      </c>
      <c r="P404" s="12">
        <v>11020</v>
      </c>
      <c r="Q404" s="12">
        <v>11020</v>
      </c>
      <c r="R404" s="1">
        <v>1070000</v>
      </c>
      <c r="S404" s="1" t="s">
        <v>607</v>
      </c>
      <c r="V404" s="1" t="s">
        <v>609</v>
      </c>
      <c r="W404" s="1">
        <v>0</v>
      </c>
    </row>
    <row r="405" spans="1:24" hidden="1" outlineLevel="1">
      <c r="A405" s="1" t="s">
        <v>11</v>
      </c>
      <c r="B405" s="25">
        <v>1499</v>
      </c>
      <c r="C405" s="25" t="s">
        <v>621</v>
      </c>
      <c r="E405" s="11"/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">
        <v>1070000</v>
      </c>
      <c r="S405" s="1" t="s">
        <v>607</v>
      </c>
      <c r="V405" s="1" t="s">
        <v>608</v>
      </c>
      <c r="W405" s="1">
        <v>0</v>
      </c>
    </row>
    <row r="406" spans="1:24" hidden="1" outlineLevel="1">
      <c r="A406" s="1" t="s">
        <v>11</v>
      </c>
      <c r="B406" s="25">
        <v>1520</v>
      </c>
      <c r="C406" s="25" t="s">
        <v>622</v>
      </c>
      <c r="E406" s="11"/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">
        <v>1020000</v>
      </c>
      <c r="S406" s="1" t="s">
        <v>597</v>
      </c>
      <c r="V406" s="1" t="s">
        <v>598</v>
      </c>
      <c r="W406" s="1">
        <v>0</v>
      </c>
    </row>
    <row r="407" spans="1:24" hidden="1" outlineLevel="1">
      <c r="A407" s="1" t="s">
        <v>11</v>
      </c>
      <c r="B407" s="25">
        <v>1500</v>
      </c>
      <c r="C407" s="25" t="s">
        <v>617</v>
      </c>
      <c r="E407" s="11"/>
      <c r="F407" s="12">
        <v>29850</v>
      </c>
      <c r="G407" s="12">
        <v>29850</v>
      </c>
      <c r="H407" s="12">
        <v>29850</v>
      </c>
      <c r="I407" s="12">
        <v>29850</v>
      </c>
      <c r="J407" s="12">
        <v>29850</v>
      </c>
      <c r="K407" s="12">
        <v>29850</v>
      </c>
      <c r="L407" s="12">
        <v>29850</v>
      </c>
      <c r="M407" s="12">
        <v>29850</v>
      </c>
      <c r="N407" s="12">
        <v>29850</v>
      </c>
      <c r="O407" s="12">
        <v>29850</v>
      </c>
      <c r="P407" s="12">
        <v>29850</v>
      </c>
      <c r="Q407" s="12">
        <v>29850</v>
      </c>
      <c r="R407" s="1">
        <v>1080000</v>
      </c>
      <c r="S407" s="1" t="s">
        <v>618</v>
      </c>
      <c r="V407" s="1" t="s">
        <v>617</v>
      </c>
      <c r="W407" s="1">
        <v>0</v>
      </c>
    </row>
    <row r="408" spans="1:24" hidden="1" outlineLevel="1">
      <c r="A408" s="1" t="s">
        <v>11</v>
      </c>
      <c r="B408" s="25">
        <v>1550</v>
      </c>
      <c r="C408" s="25" t="s">
        <v>623</v>
      </c>
      <c r="E408" s="11"/>
      <c r="F408" s="12">
        <v>19062</v>
      </c>
      <c r="G408" s="12">
        <v>19062</v>
      </c>
      <c r="H408" s="12">
        <v>19062</v>
      </c>
      <c r="I408" s="12">
        <v>19062</v>
      </c>
      <c r="J408" s="12">
        <v>19062</v>
      </c>
      <c r="K408" s="12">
        <v>19062</v>
      </c>
      <c r="L408" s="12">
        <v>19062</v>
      </c>
      <c r="M408" s="12">
        <v>19062</v>
      </c>
      <c r="N408" s="12">
        <v>19062</v>
      </c>
      <c r="O408" s="12">
        <v>19062</v>
      </c>
      <c r="P408" s="12">
        <v>19062</v>
      </c>
      <c r="Q408" s="12">
        <v>19062</v>
      </c>
      <c r="R408" s="1">
        <v>1080000</v>
      </c>
      <c r="S408" s="1" t="s">
        <v>618</v>
      </c>
      <c r="V408" s="1" t="s">
        <v>624</v>
      </c>
      <c r="W408" s="1">
        <v>0</v>
      </c>
    </row>
    <row r="409" spans="1:24" hidden="1" outlineLevel="1">
      <c r="A409" s="1" t="s">
        <v>11</v>
      </c>
      <c r="B409" s="25">
        <v>1555</v>
      </c>
      <c r="C409" s="25" t="s">
        <v>625</v>
      </c>
      <c r="E409" s="11"/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">
        <v>1020000</v>
      </c>
      <c r="S409" s="1" t="s">
        <v>597</v>
      </c>
      <c r="V409" s="1" t="s">
        <v>598</v>
      </c>
      <c r="W409" s="1">
        <v>0</v>
      </c>
    </row>
    <row r="410" spans="1:24" hidden="1" outlineLevel="1">
      <c r="A410" s="1" t="s">
        <v>11</v>
      </c>
      <c r="B410" s="25">
        <v>1560</v>
      </c>
      <c r="C410" s="25" t="s">
        <v>626</v>
      </c>
      <c r="E410" s="11"/>
      <c r="F410" s="12">
        <v>10880</v>
      </c>
      <c r="G410" s="12">
        <v>10880</v>
      </c>
      <c r="H410" s="12">
        <v>10880</v>
      </c>
      <c r="I410" s="12">
        <v>10880</v>
      </c>
      <c r="J410" s="12">
        <v>10880</v>
      </c>
      <c r="K410" s="12">
        <v>10880</v>
      </c>
      <c r="L410" s="12">
        <v>10880</v>
      </c>
      <c r="M410" s="12">
        <v>10880</v>
      </c>
      <c r="N410" s="12">
        <v>10880</v>
      </c>
      <c r="O410" s="12">
        <v>10880</v>
      </c>
      <c r="P410" s="12">
        <v>10880</v>
      </c>
      <c r="Q410" s="12">
        <v>10880</v>
      </c>
      <c r="R410" s="1">
        <v>1080000</v>
      </c>
      <c r="S410" s="1" t="s">
        <v>618</v>
      </c>
      <c r="V410" s="1" t="s">
        <v>624</v>
      </c>
      <c r="W410" s="1">
        <v>0</v>
      </c>
    </row>
    <row r="411" spans="1:24" hidden="1" outlineLevel="1">
      <c r="A411" s="1" t="s">
        <v>11</v>
      </c>
      <c r="B411" s="25">
        <v>1702</v>
      </c>
      <c r="C411" s="25" t="s">
        <v>627</v>
      </c>
      <c r="E411" s="11"/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">
        <v>1501001</v>
      </c>
      <c r="S411" s="1" t="s">
        <v>628</v>
      </c>
      <c r="V411" s="1" t="s">
        <v>629</v>
      </c>
      <c r="W411" s="1">
        <v>0</v>
      </c>
    </row>
    <row r="412" spans="1:24" hidden="1" outlineLevel="1">
      <c r="A412" s="1" t="s">
        <v>11</v>
      </c>
      <c r="B412" s="25">
        <v>1705</v>
      </c>
      <c r="C412" s="25" t="s">
        <v>630</v>
      </c>
      <c r="E412" s="11"/>
      <c r="F412" s="12">
        <v>702266</v>
      </c>
      <c r="G412" s="12">
        <v>2181036.2933381479</v>
      </c>
      <c r="H412" s="12">
        <v>2181036.2933381479</v>
      </c>
      <c r="I412" s="12">
        <v>2181036.2933381479</v>
      </c>
      <c r="J412" s="12">
        <v>2181036.2933381479</v>
      </c>
      <c r="K412" s="12">
        <v>2181036.2933381479</v>
      </c>
      <c r="L412" s="12">
        <v>2181036.2933381479</v>
      </c>
      <c r="M412" s="12">
        <v>2181036.2933381479</v>
      </c>
      <c r="N412" s="12">
        <v>2181036.2933381479</v>
      </c>
      <c r="O412" s="12">
        <v>2181036.2933381479</v>
      </c>
      <c r="P412" s="12">
        <v>2181036.2933381479</v>
      </c>
      <c r="Q412" s="12">
        <v>2181036.2933381479</v>
      </c>
      <c r="R412" s="1">
        <v>1521001</v>
      </c>
      <c r="S412" s="1" t="s">
        <v>631</v>
      </c>
      <c r="V412" s="1" t="s">
        <v>632</v>
      </c>
      <c r="W412" s="1">
        <v>0</v>
      </c>
    </row>
    <row r="413" spans="1:24" hidden="1" outlineLevel="1">
      <c r="A413" s="1" t="s">
        <v>11</v>
      </c>
      <c r="B413" s="25">
        <v>1706</v>
      </c>
      <c r="C413" s="25" t="s">
        <v>546</v>
      </c>
      <c r="E413" s="11"/>
      <c r="F413" s="12">
        <v>-704272.20268916152</v>
      </c>
      <c r="G413" s="12">
        <v>-720907.40537832305</v>
      </c>
      <c r="H413" s="12">
        <v>-737542.60806748457</v>
      </c>
      <c r="I413" s="12">
        <v>-754177.8107566461</v>
      </c>
      <c r="J413" s="12">
        <v>-770813.01344580762</v>
      </c>
      <c r="K413" s="12">
        <v>-787448.21613496915</v>
      </c>
      <c r="L413" s="12">
        <v>-804083.41882413067</v>
      </c>
      <c r="M413" s="12">
        <v>-820718.62151329219</v>
      </c>
      <c r="N413" s="12">
        <v>-837353.82420245372</v>
      </c>
      <c r="O413" s="12">
        <v>-853989.02689161524</v>
      </c>
      <c r="P413" s="12">
        <v>-870624.22958077677</v>
      </c>
      <c r="Q413" s="12">
        <v>-887259.43226993829</v>
      </c>
      <c r="R413" s="1">
        <v>1521002</v>
      </c>
      <c r="S413" s="1" t="s">
        <v>633</v>
      </c>
      <c r="V413" s="1" t="s">
        <v>633</v>
      </c>
      <c r="W413" s="1">
        <v>0</v>
      </c>
    </row>
    <row r="414" spans="1:24" hidden="1" outlineLevel="1">
      <c r="A414" s="1" t="s">
        <v>11</v>
      </c>
      <c r="B414" s="25">
        <v>1710</v>
      </c>
      <c r="C414" s="25" t="s">
        <v>634</v>
      </c>
      <c r="E414" s="11"/>
      <c r="F414" s="12">
        <v>58722</v>
      </c>
      <c r="G414" s="12">
        <v>449436.28571428574</v>
      </c>
      <c r="H414" s="12">
        <v>449436.28571428574</v>
      </c>
      <c r="I414" s="12">
        <v>449436.28571428574</v>
      </c>
      <c r="J414" s="12">
        <v>449436.28571428574</v>
      </c>
      <c r="K414" s="12">
        <v>449436.28571428574</v>
      </c>
      <c r="L414" s="12">
        <v>449436.28571428574</v>
      </c>
      <c r="M414" s="12">
        <v>449436.28571428574</v>
      </c>
      <c r="N414" s="12">
        <v>449436.28571428574</v>
      </c>
      <c r="O414" s="12">
        <v>554436.28571428568</v>
      </c>
      <c r="P414" s="12">
        <v>554436.28571428568</v>
      </c>
      <c r="Q414" s="12">
        <v>554436.28571428568</v>
      </c>
      <c r="R414" s="1">
        <v>1501001</v>
      </c>
      <c r="S414" s="1" t="s">
        <v>628</v>
      </c>
      <c r="V414" s="1" t="s">
        <v>629</v>
      </c>
      <c r="W414" s="1">
        <v>0</v>
      </c>
    </row>
    <row r="415" spans="1:24" hidden="1" outlineLevel="1">
      <c r="A415" s="1" t="s">
        <v>11</v>
      </c>
      <c r="B415" s="25">
        <v>1711</v>
      </c>
      <c r="C415" s="25" t="s">
        <v>537</v>
      </c>
      <c r="E415" s="11"/>
      <c r="F415" s="12">
        <v>-19425.732992865276</v>
      </c>
      <c r="G415" s="12">
        <v>-21761.665037657418</v>
      </c>
      <c r="H415" s="12">
        <v>-24097.59708244956</v>
      </c>
      <c r="I415" s="12">
        <v>-26433.529127241702</v>
      </c>
      <c r="J415" s="12">
        <v>-28769.461172033843</v>
      </c>
      <c r="K415" s="12">
        <v>-31105.393216825985</v>
      </c>
      <c r="L415" s="12">
        <v>-33441.325261618127</v>
      </c>
      <c r="M415" s="12">
        <v>-35777.257306410269</v>
      </c>
      <c r="N415" s="12">
        <v>-38113.189351202411</v>
      </c>
      <c r="O415" s="12">
        <v>-40449.121395994553</v>
      </c>
      <c r="P415" s="12">
        <v>-42785.053440786694</v>
      </c>
      <c r="Q415" s="12">
        <v>-45120.985485578836</v>
      </c>
      <c r="R415" s="1">
        <v>1501002</v>
      </c>
      <c r="S415" s="1" t="s">
        <v>635</v>
      </c>
      <c r="V415" s="1" t="s">
        <v>635</v>
      </c>
      <c r="W415" s="1">
        <v>0</v>
      </c>
    </row>
    <row r="416" spans="1:24" hidden="1" outlineLevel="1">
      <c r="A416" s="1" t="s">
        <v>11</v>
      </c>
      <c r="B416" s="25">
        <v>1715</v>
      </c>
      <c r="C416" s="25" t="s">
        <v>636</v>
      </c>
      <c r="E416" s="11"/>
      <c r="F416" s="12">
        <v>119559</v>
      </c>
      <c r="G416" s="12">
        <v>119559</v>
      </c>
      <c r="H416" s="12">
        <v>119559</v>
      </c>
      <c r="I416" s="12">
        <v>119559</v>
      </c>
      <c r="J416" s="12">
        <v>119559</v>
      </c>
      <c r="K416" s="12">
        <v>119559</v>
      </c>
      <c r="L416" s="12">
        <v>119559</v>
      </c>
      <c r="M416" s="12">
        <v>119559</v>
      </c>
      <c r="N416" s="12">
        <v>349559</v>
      </c>
      <c r="O416" s="12">
        <v>349559</v>
      </c>
      <c r="P416" s="12">
        <v>349559</v>
      </c>
      <c r="Q416" s="12">
        <v>349559</v>
      </c>
      <c r="R416" s="1">
        <v>1502001</v>
      </c>
      <c r="S416" s="1" t="s">
        <v>637</v>
      </c>
      <c r="V416" s="1" t="s">
        <v>638</v>
      </c>
      <c r="W416" s="1">
        <v>0</v>
      </c>
    </row>
    <row r="417" spans="1:24" hidden="1" outlineLevel="1">
      <c r="A417" s="1" t="s">
        <v>11</v>
      </c>
      <c r="B417" s="25">
        <v>1716</v>
      </c>
      <c r="C417" s="25" t="s">
        <v>537</v>
      </c>
      <c r="E417" s="11"/>
      <c r="F417" s="12">
        <v>-40255</v>
      </c>
      <c r="G417" s="12">
        <v>-40255</v>
      </c>
      <c r="H417" s="12">
        <v>-40255</v>
      </c>
      <c r="I417" s="12">
        <v>-40255</v>
      </c>
      <c r="J417" s="12">
        <v>-40255</v>
      </c>
      <c r="K417" s="12">
        <v>-40255</v>
      </c>
      <c r="L417" s="12">
        <v>-40255</v>
      </c>
      <c r="M417" s="12">
        <v>-40255</v>
      </c>
      <c r="N417" s="12">
        <v>-40255</v>
      </c>
      <c r="O417" s="12">
        <v>-40255</v>
      </c>
      <c r="P417" s="12">
        <v>-40255</v>
      </c>
      <c r="Q417" s="12">
        <v>-40255</v>
      </c>
      <c r="R417" s="1">
        <v>1502002</v>
      </c>
      <c r="S417" s="1" t="s">
        <v>639</v>
      </c>
      <c r="V417" s="1" t="s">
        <v>639</v>
      </c>
      <c r="W417" s="1">
        <v>0</v>
      </c>
    </row>
    <row r="418" spans="1:24" hidden="1" outlineLevel="1">
      <c r="A418" s="1" t="s">
        <v>11</v>
      </c>
      <c r="B418" s="25">
        <v>1720</v>
      </c>
      <c r="C418" s="25" t="s">
        <v>640</v>
      </c>
      <c r="E418" s="11"/>
      <c r="F418" s="12">
        <v>12231</v>
      </c>
      <c r="G418" s="12">
        <v>12231</v>
      </c>
      <c r="H418" s="12">
        <v>12231</v>
      </c>
      <c r="I418" s="12">
        <v>12231</v>
      </c>
      <c r="J418" s="12">
        <v>12231</v>
      </c>
      <c r="K418" s="12">
        <v>12231</v>
      </c>
      <c r="L418" s="12">
        <v>12231</v>
      </c>
      <c r="M418" s="12">
        <v>12231</v>
      </c>
      <c r="N418" s="12">
        <v>12231</v>
      </c>
      <c r="O418" s="12">
        <v>12231</v>
      </c>
      <c r="P418" s="12">
        <v>12231</v>
      </c>
      <c r="Q418" s="12">
        <v>12231</v>
      </c>
      <c r="R418" s="1">
        <v>1503001</v>
      </c>
      <c r="S418" s="1" t="s">
        <v>641</v>
      </c>
      <c r="V418" s="1" t="s">
        <v>640</v>
      </c>
      <c r="W418" s="1">
        <v>0</v>
      </c>
    </row>
    <row r="419" spans="1:24" hidden="1" outlineLevel="1">
      <c r="A419" s="1" t="s">
        <v>11</v>
      </c>
      <c r="B419" s="25">
        <v>1721</v>
      </c>
      <c r="C419" s="25" t="s">
        <v>537</v>
      </c>
      <c r="E419" s="11"/>
      <c r="F419" s="12">
        <v>-3442</v>
      </c>
      <c r="G419" s="12">
        <v>-3442</v>
      </c>
      <c r="H419" s="12">
        <v>-3442</v>
      </c>
      <c r="I419" s="12">
        <v>-3442</v>
      </c>
      <c r="J419" s="12">
        <v>-3442</v>
      </c>
      <c r="K419" s="12">
        <v>-3442</v>
      </c>
      <c r="L419" s="12">
        <v>-3442</v>
      </c>
      <c r="M419" s="12">
        <v>-3442</v>
      </c>
      <c r="N419" s="12">
        <v>-3442</v>
      </c>
      <c r="O419" s="12">
        <v>-3442</v>
      </c>
      <c r="P419" s="12">
        <v>-3442</v>
      </c>
      <c r="Q419" s="12">
        <v>-3442</v>
      </c>
      <c r="R419" s="1">
        <v>1503002</v>
      </c>
      <c r="S419" s="1" t="s">
        <v>642</v>
      </c>
      <c r="V419" s="1" t="s">
        <v>642</v>
      </c>
      <c r="W419" s="1">
        <v>0</v>
      </c>
    </row>
    <row r="420" spans="1:24" hidden="1" outlineLevel="1">
      <c r="A420" s="1" t="s">
        <v>11</v>
      </c>
      <c r="B420" s="25">
        <v>1722</v>
      </c>
      <c r="C420" s="25" t="s">
        <v>643</v>
      </c>
      <c r="E420" s="11"/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">
        <v>1080000</v>
      </c>
      <c r="S420" s="1" t="s">
        <v>618</v>
      </c>
      <c r="V420" s="1" t="e">
        <v>#N/A</v>
      </c>
      <c r="W420" s="1">
        <v>0</v>
      </c>
    </row>
    <row r="421" spans="1:24" hidden="1" outlineLevel="1">
      <c r="A421" s="1" t="s">
        <v>11</v>
      </c>
      <c r="B421" s="25">
        <v>1730</v>
      </c>
      <c r="C421" s="25" t="s">
        <v>644</v>
      </c>
      <c r="E421" s="11"/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">
        <v>1501001</v>
      </c>
      <c r="S421" s="1" t="s">
        <v>628</v>
      </c>
      <c r="V421" s="1" t="s">
        <v>644</v>
      </c>
      <c r="W421" s="1">
        <v>0</v>
      </c>
    </row>
    <row r="422" spans="1:24" hidden="1" outlineLevel="1">
      <c r="A422" s="1" t="s">
        <v>11</v>
      </c>
      <c r="B422" s="25">
        <v>1750</v>
      </c>
      <c r="C422" s="25" t="s">
        <v>645</v>
      </c>
      <c r="E422" s="11"/>
      <c r="F422" s="12">
        <v>9497</v>
      </c>
      <c r="G422" s="12">
        <v>9497</v>
      </c>
      <c r="H422" s="12">
        <v>9497</v>
      </c>
      <c r="I422" s="12">
        <v>9497</v>
      </c>
      <c r="J422" s="12">
        <v>9497</v>
      </c>
      <c r="K422" s="12">
        <v>9497</v>
      </c>
      <c r="L422" s="12">
        <v>9497</v>
      </c>
      <c r="M422" s="12">
        <v>9497</v>
      </c>
      <c r="N422" s="12">
        <v>9497</v>
      </c>
      <c r="O422" s="12">
        <v>9497</v>
      </c>
      <c r="P422" s="12">
        <v>9497</v>
      </c>
      <c r="Q422" s="12">
        <v>9497</v>
      </c>
      <c r="R422" s="1">
        <v>1561001</v>
      </c>
      <c r="S422" s="1" t="s">
        <v>646</v>
      </c>
      <c r="V422" s="1" t="s">
        <v>647</v>
      </c>
      <c r="W422" s="1">
        <v>0</v>
      </c>
    </row>
    <row r="423" spans="1:24" hidden="1" outlineLevel="1">
      <c r="A423" s="1" t="s">
        <v>11</v>
      </c>
      <c r="B423" s="25">
        <v>1751</v>
      </c>
      <c r="C423" s="25" t="s">
        <v>537</v>
      </c>
      <c r="E423" s="11"/>
      <c r="F423" s="12">
        <v>-9497</v>
      </c>
      <c r="G423" s="12">
        <v>-9497</v>
      </c>
      <c r="H423" s="12">
        <v>-9497</v>
      </c>
      <c r="I423" s="12">
        <v>-9497</v>
      </c>
      <c r="J423" s="12">
        <v>-9497</v>
      </c>
      <c r="K423" s="12">
        <v>-9497</v>
      </c>
      <c r="L423" s="12">
        <v>-9497</v>
      </c>
      <c r="M423" s="12">
        <v>-9497</v>
      </c>
      <c r="N423" s="12">
        <v>-9497</v>
      </c>
      <c r="O423" s="12">
        <v>-9497</v>
      </c>
      <c r="P423" s="12">
        <v>-9497</v>
      </c>
      <c r="Q423" s="12">
        <v>-9497</v>
      </c>
      <c r="R423" s="1">
        <v>1561002</v>
      </c>
      <c r="S423" s="1" t="s">
        <v>648</v>
      </c>
      <c r="V423" s="1" t="s">
        <v>649</v>
      </c>
      <c r="W423" s="1">
        <v>0</v>
      </c>
    </row>
    <row r="424" spans="1:24" hidden="1" outlineLevel="1">
      <c r="A424" s="1" t="s">
        <v>11</v>
      </c>
      <c r="B424" s="25">
        <v>1755</v>
      </c>
      <c r="C424" s="25" t="s">
        <v>650</v>
      </c>
      <c r="E424" s="11"/>
      <c r="F424" s="12">
        <v>14850</v>
      </c>
      <c r="G424" s="12">
        <v>14850</v>
      </c>
      <c r="H424" s="12">
        <v>14850</v>
      </c>
      <c r="I424" s="12">
        <v>14850</v>
      </c>
      <c r="J424" s="12">
        <v>14850</v>
      </c>
      <c r="K424" s="12">
        <v>14850</v>
      </c>
      <c r="L424" s="12">
        <v>14850</v>
      </c>
      <c r="M424" s="12">
        <v>14850</v>
      </c>
      <c r="N424" s="12">
        <v>14850</v>
      </c>
      <c r="O424" s="12">
        <v>14850</v>
      </c>
      <c r="P424" s="12">
        <v>14850</v>
      </c>
      <c r="Q424" s="12">
        <v>14850</v>
      </c>
      <c r="R424" s="1">
        <v>1505001</v>
      </c>
      <c r="S424" s="1" t="s">
        <v>651</v>
      </c>
      <c r="V424" s="1" t="s">
        <v>652</v>
      </c>
      <c r="W424" s="1">
        <v>0</v>
      </c>
    </row>
    <row r="425" spans="1:24" hidden="1" outlineLevel="1">
      <c r="A425" s="1" t="s">
        <v>11</v>
      </c>
      <c r="B425" s="25">
        <v>1756</v>
      </c>
      <c r="C425" s="25" t="s">
        <v>537</v>
      </c>
      <c r="E425" s="11"/>
      <c r="F425" s="12">
        <v>-14850</v>
      </c>
      <c r="G425" s="12">
        <v>-14850</v>
      </c>
      <c r="H425" s="12">
        <v>-14850</v>
      </c>
      <c r="I425" s="12">
        <v>-14850</v>
      </c>
      <c r="J425" s="12">
        <v>-14850</v>
      </c>
      <c r="K425" s="12">
        <v>-14850</v>
      </c>
      <c r="L425" s="12">
        <v>-14850</v>
      </c>
      <c r="M425" s="12">
        <v>-14850</v>
      </c>
      <c r="N425" s="12">
        <v>-14850</v>
      </c>
      <c r="O425" s="12">
        <v>-14850</v>
      </c>
      <c r="P425" s="12">
        <v>-14850</v>
      </c>
      <c r="Q425" s="12">
        <v>-14850</v>
      </c>
      <c r="R425" s="1">
        <v>1505002</v>
      </c>
      <c r="S425" s="1" t="s">
        <v>653</v>
      </c>
      <c r="V425" s="1" t="s">
        <v>653</v>
      </c>
      <c r="W425" s="1">
        <v>0</v>
      </c>
    </row>
    <row r="426" spans="1:24" hidden="1" outlineLevel="1">
      <c r="A426" s="1" t="s">
        <v>11</v>
      </c>
      <c r="B426" s="25">
        <v>1770</v>
      </c>
      <c r="C426" s="25" t="s">
        <v>654</v>
      </c>
      <c r="E426" s="11"/>
      <c r="F426" s="12">
        <v>19684</v>
      </c>
      <c r="G426" s="12">
        <v>19684</v>
      </c>
      <c r="H426" s="12">
        <v>19684</v>
      </c>
      <c r="I426" s="12">
        <v>19684</v>
      </c>
      <c r="J426" s="12">
        <v>19684</v>
      </c>
      <c r="K426" s="12">
        <v>19684</v>
      </c>
      <c r="L426" s="12">
        <v>19684</v>
      </c>
      <c r="M426" s="12">
        <v>19684</v>
      </c>
      <c r="N426" s="12">
        <v>19684</v>
      </c>
      <c r="O426" s="12">
        <v>19684</v>
      </c>
      <c r="P426" s="12">
        <v>19684</v>
      </c>
      <c r="Q426" s="12">
        <v>19684</v>
      </c>
      <c r="R426" s="1">
        <v>1501001</v>
      </c>
      <c r="S426" s="1" t="s">
        <v>628</v>
      </c>
      <c r="V426" s="1" t="s">
        <v>629</v>
      </c>
      <c r="W426" s="1">
        <v>0</v>
      </c>
    </row>
    <row r="427" spans="1:24" hidden="1" outlineLevel="1">
      <c r="A427" s="1" t="s">
        <v>11</v>
      </c>
      <c r="B427" s="25">
        <v>1771</v>
      </c>
      <c r="C427" s="25" t="s">
        <v>537</v>
      </c>
      <c r="E427" s="11"/>
      <c r="F427" s="12">
        <v>-13370.999999999996</v>
      </c>
      <c r="G427" s="12">
        <v>-14190.333333333328</v>
      </c>
      <c r="H427" s="12">
        <v>-15009.666666666661</v>
      </c>
      <c r="I427" s="12">
        <v>-15828.999999999993</v>
      </c>
      <c r="J427" s="12">
        <v>-16648.333333333325</v>
      </c>
      <c r="K427" s="12">
        <v>-17467.666666666657</v>
      </c>
      <c r="L427" s="12">
        <v>-18286.999999999989</v>
      </c>
      <c r="M427" s="12">
        <v>-19106.333333333321</v>
      </c>
      <c r="N427" s="12">
        <v>-19925.666666666653</v>
      </c>
      <c r="O427" s="12">
        <v>-20744.999999999985</v>
      </c>
      <c r="P427" s="12">
        <v>-21564.333333333318</v>
      </c>
      <c r="Q427" s="12">
        <v>-22383.66666666665</v>
      </c>
      <c r="R427" s="1">
        <v>1501002</v>
      </c>
      <c r="S427" s="1" t="s">
        <v>635</v>
      </c>
      <c r="V427" s="1" t="s">
        <v>635</v>
      </c>
      <c r="W427" s="1">
        <v>0</v>
      </c>
    </row>
    <row r="428" spans="1:24" hidden="1" outlineLevel="1">
      <c r="A428" s="1" t="s">
        <v>11</v>
      </c>
      <c r="B428" s="25">
        <v>1760</v>
      </c>
      <c r="C428" s="25" t="s">
        <v>655</v>
      </c>
      <c r="E428" s="11"/>
      <c r="F428" s="12">
        <v>15156</v>
      </c>
      <c r="G428" s="12">
        <v>15156</v>
      </c>
      <c r="H428" s="12">
        <v>15156</v>
      </c>
      <c r="I428" s="12">
        <v>15156</v>
      </c>
      <c r="J428" s="12">
        <v>15156</v>
      </c>
      <c r="K428" s="12">
        <v>15156</v>
      </c>
      <c r="L428" s="12">
        <v>15156</v>
      </c>
      <c r="M428" s="12">
        <v>15156</v>
      </c>
      <c r="N428" s="12">
        <v>15156</v>
      </c>
      <c r="O428" s="12">
        <v>15156</v>
      </c>
      <c r="P428" s="12">
        <v>15156</v>
      </c>
      <c r="Q428" s="12">
        <v>15156</v>
      </c>
      <c r="R428" s="1">
        <v>1562001</v>
      </c>
      <c r="S428" s="1" t="s">
        <v>656</v>
      </c>
      <c r="V428" s="1" t="s">
        <v>657</v>
      </c>
      <c r="W428" s="1">
        <v>0</v>
      </c>
    </row>
    <row r="429" spans="1:24" hidden="1" outlineLevel="1">
      <c r="A429" s="1" t="s">
        <v>11</v>
      </c>
      <c r="B429" s="25">
        <v>1850</v>
      </c>
      <c r="C429" s="25" t="s">
        <v>658</v>
      </c>
      <c r="E429" s="11"/>
      <c r="F429" s="12">
        <v>205621</v>
      </c>
      <c r="G429" s="12">
        <v>205621</v>
      </c>
      <c r="H429" s="12">
        <v>205621</v>
      </c>
      <c r="I429" s="12">
        <v>205621</v>
      </c>
      <c r="J429" s="12">
        <v>205621</v>
      </c>
      <c r="K429" s="12">
        <v>205621</v>
      </c>
      <c r="L429" s="12">
        <v>205621</v>
      </c>
      <c r="M429" s="12">
        <v>205621</v>
      </c>
      <c r="N429" s="12">
        <v>205621</v>
      </c>
      <c r="O429" s="12">
        <v>205621</v>
      </c>
      <c r="P429" s="12">
        <v>205621</v>
      </c>
      <c r="Q429" s="12">
        <v>205621</v>
      </c>
      <c r="R429" s="1">
        <v>1590000</v>
      </c>
      <c r="S429" s="1" t="s">
        <v>659</v>
      </c>
      <c r="V429" s="1" t="s">
        <v>660</v>
      </c>
      <c r="W429" s="1">
        <v>0</v>
      </c>
    </row>
    <row r="430" spans="1:24" hidden="1" outlineLevel="1">
      <c r="A430" s="1" t="s">
        <v>590</v>
      </c>
      <c r="B430" s="28">
        <v>93000</v>
      </c>
      <c r="C430" s="28" t="s">
        <v>661</v>
      </c>
      <c r="E430" s="11"/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">
        <v>1504001</v>
      </c>
      <c r="S430" s="1" t="s">
        <v>662</v>
      </c>
      <c r="V430" s="1" t="s">
        <v>663</v>
      </c>
      <c r="W430" s="1">
        <v>0</v>
      </c>
      <c r="X430" s="14"/>
    </row>
    <row r="431" spans="1:24" hidden="1" outlineLevel="1">
      <c r="A431" s="1" t="s">
        <v>590</v>
      </c>
      <c r="B431" s="28">
        <v>93001</v>
      </c>
      <c r="C431" s="28" t="s">
        <v>664</v>
      </c>
      <c r="E431" s="11"/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">
        <v>1503001</v>
      </c>
      <c r="S431" s="1" t="s">
        <v>641</v>
      </c>
      <c r="V431" s="1" t="s">
        <v>640</v>
      </c>
      <c r="W431" s="1">
        <v>0</v>
      </c>
      <c r="X431" s="14"/>
    </row>
    <row r="432" spans="1:24" hidden="1" outlineLevel="1">
      <c r="A432" s="1" t="s">
        <v>590</v>
      </c>
      <c r="B432" s="28">
        <v>94000</v>
      </c>
      <c r="C432" s="28" t="s">
        <v>665</v>
      </c>
      <c r="E432" s="11"/>
      <c r="F432" s="12">
        <v>2033.3946360153257</v>
      </c>
      <c r="G432" s="12">
        <v>2033.3946360153257</v>
      </c>
      <c r="H432" s="12">
        <v>2033.3946360153257</v>
      </c>
      <c r="I432" s="12">
        <v>2033.3946360153257</v>
      </c>
      <c r="J432" s="12">
        <v>2033.3946360153257</v>
      </c>
      <c r="K432" s="12">
        <v>2033.3946360153257</v>
      </c>
      <c r="L432" s="12">
        <v>2033.3946360153257</v>
      </c>
      <c r="M432" s="12">
        <v>2033.3946360153257</v>
      </c>
      <c r="N432" s="12">
        <v>2033.3946360153257</v>
      </c>
      <c r="O432" s="12">
        <v>2033.3946360153257</v>
      </c>
      <c r="P432" s="12">
        <v>2033.3946360153257</v>
      </c>
      <c r="Q432" s="12">
        <v>2033.3946360153257</v>
      </c>
      <c r="R432" s="1">
        <v>1501001</v>
      </c>
      <c r="S432" s="1" t="s">
        <v>628</v>
      </c>
      <c r="V432" s="1" t="s">
        <v>629</v>
      </c>
      <c r="W432" s="1">
        <v>0</v>
      </c>
      <c r="X432" s="14"/>
    </row>
    <row r="433" spans="1:24" hidden="1" outlineLevel="1">
      <c r="A433" s="1" t="s">
        <v>590</v>
      </c>
      <c r="B433" s="28">
        <v>94250</v>
      </c>
      <c r="C433" s="28" t="s">
        <v>666</v>
      </c>
      <c r="E433" s="11"/>
      <c r="F433" s="12">
        <v>-635.40229885057477</v>
      </c>
      <c r="G433" s="12">
        <v>-635.40229885057477</v>
      </c>
      <c r="H433" s="12">
        <v>-635.40229885057477</v>
      </c>
      <c r="I433" s="12">
        <v>-635.40229885057477</v>
      </c>
      <c r="J433" s="12">
        <v>-635.40229885057477</v>
      </c>
      <c r="K433" s="12">
        <v>-635.40229885057477</v>
      </c>
      <c r="L433" s="12">
        <v>-635.40229885057477</v>
      </c>
      <c r="M433" s="12">
        <v>-635.40229885057477</v>
      </c>
      <c r="N433" s="12">
        <v>-635.40229885057477</v>
      </c>
      <c r="O433" s="12">
        <v>-635.40229885057477</v>
      </c>
      <c r="P433" s="12">
        <v>-635.40229885057477</v>
      </c>
      <c r="Q433" s="12">
        <v>-635.40229885057477</v>
      </c>
      <c r="R433" s="1">
        <v>1501001</v>
      </c>
      <c r="S433" s="1" t="s">
        <v>628</v>
      </c>
      <c r="V433" s="1" t="s">
        <v>629</v>
      </c>
      <c r="W433" s="1">
        <v>0</v>
      </c>
      <c r="X433" s="14"/>
    </row>
    <row r="434" spans="1:24" hidden="1" outlineLevel="1">
      <c r="A434" s="1" t="s">
        <v>590</v>
      </c>
      <c r="B434" s="28">
        <v>94501</v>
      </c>
      <c r="C434" s="28" t="s">
        <v>667</v>
      </c>
      <c r="E434" s="11"/>
      <c r="F434" s="12">
        <v>1532.5670498084291</v>
      </c>
      <c r="G434" s="12">
        <v>1532.5670498084291</v>
      </c>
      <c r="H434" s="12">
        <v>1532.5670498084291</v>
      </c>
      <c r="I434" s="12">
        <v>1532.5670498084291</v>
      </c>
      <c r="J434" s="12">
        <v>1532.5670498084291</v>
      </c>
      <c r="K434" s="12">
        <v>1532.5670498084291</v>
      </c>
      <c r="L434" s="12">
        <v>1532.5670498084291</v>
      </c>
      <c r="M434" s="12">
        <v>1532.5670498084291</v>
      </c>
      <c r="N434" s="12">
        <v>1532.5670498084291</v>
      </c>
      <c r="O434" s="12">
        <v>1532.5670498084291</v>
      </c>
      <c r="P434" s="12">
        <v>1532.5670498084291</v>
      </c>
      <c r="Q434" s="12">
        <v>1532.5670498084291</v>
      </c>
      <c r="R434" s="1">
        <v>1080000</v>
      </c>
      <c r="S434" s="1" t="s">
        <v>618</v>
      </c>
      <c r="V434" s="1" t="s">
        <v>624</v>
      </c>
      <c r="W434" s="1">
        <v>0</v>
      </c>
      <c r="X434" s="14"/>
    </row>
    <row r="435" spans="1:24" hidden="1" outlineLevel="1">
      <c r="A435" s="58" t="s">
        <v>11</v>
      </c>
      <c r="B435" s="59">
        <v>1300</v>
      </c>
      <c r="C435" s="59" t="s">
        <v>668</v>
      </c>
      <c r="E435" s="11"/>
      <c r="F435" s="12">
        <v>117088</v>
      </c>
      <c r="G435" s="12">
        <v>117088</v>
      </c>
      <c r="H435" s="12">
        <v>117088</v>
      </c>
      <c r="I435" s="12">
        <v>117088</v>
      </c>
      <c r="J435" s="12">
        <v>117088</v>
      </c>
      <c r="K435" s="12">
        <v>117088</v>
      </c>
      <c r="L435" s="12">
        <v>117088</v>
      </c>
      <c r="M435" s="12">
        <v>117088</v>
      </c>
      <c r="N435" s="12">
        <v>117088</v>
      </c>
      <c r="O435" s="12">
        <v>117088</v>
      </c>
      <c r="P435" s="12">
        <v>117088</v>
      </c>
      <c r="Q435" s="12">
        <v>117088</v>
      </c>
      <c r="R435" s="1">
        <v>1610000</v>
      </c>
      <c r="S435" s="1" t="s">
        <v>669</v>
      </c>
      <c r="V435" s="1" t="s">
        <v>670</v>
      </c>
      <c r="W435" s="1">
        <v>0</v>
      </c>
    </row>
    <row r="436" spans="1:24" hidden="1" outlineLevel="1">
      <c r="A436" s="58" t="s">
        <v>11</v>
      </c>
      <c r="B436" s="59">
        <v>1302</v>
      </c>
      <c r="C436" s="59" t="s">
        <v>671</v>
      </c>
      <c r="E436" s="11"/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">
        <v>1610000</v>
      </c>
      <c r="S436" s="1" t="s">
        <v>669</v>
      </c>
      <c r="V436" s="1" t="s">
        <v>672</v>
      </c>
      <c r="W436" s="1">
        <v>0</v>
      </c>
    </row>
    <row r="437" spans="1:24" hidden="1" outlineLevel="1">
      <c r="A437" s="58" t="s">
        <v>11</v>
      </c>
      <c r="B437" s="59">
        <v>1303</v>
      </c>
      <c r="C437" s="59" t="s">
        <v>673</v>
      </c>
      <c r="E437" s="11"/>
      <c r="F437" s="12">
        <v>763578</v>
      </c>
      <c r="G437" s="12">
        <v>763578</v>
      </c>
      <c r="H437" s="12">
        <v>763578</v>
      </c>
      <c r="I437" s="12">
        <v>763578</v>
      </c>
      <c r="J437" s="12">
        <v>763578</v>
      </c>
      <c r="K437" s="12">
        <v>763578</v>
      </c>
      <c r="L437" s="12">
        <v>763578</v>
      </c>
      <c r="M437" s="12">
        <v>763578</v>
      </c>
      <c r="N437" s="12">
        <v>763578</v>
      </c>
      <c r="O437" s="12">
        <v>763578</v>
      </c>
      <c r="P437" s="12">
        <v>763578</v>
      </c>
      <c r="Q437" s="12">
        <v>763578</v>
      </c>
      <c r="R437" s="1">
        <v>1610000</v>
      </c>
      <c r="S437" s="1" t="s">
        <v>669</v>
      </c>
      <c r="V437" s="1" t="s">
        <v>672</v>
      </c>
      <c r="W437" s="1">
        <v>0</v>
      </c>
    </row>
    <row r="438" spans="1:24" hidden="1" outlineLevel="1">
      <c r="A438" s="58" t="s">
        <v>11</v>
      </c>
      <c r="B438" s="60">
        <v>2900</v>
      </c>
      <c r="C438" s="60" t="s">
        <v>674</v>
      </c>
      <c r="E438" s="11"/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">
        <v>1610000</v>
      </c>
      <c r="S438" s="1" t="s">
        <v>669</v>
      </c>
      <c r="V438" s="1" t="s">
        <v>670</v>
      </c>
      <c r="W438" s="1">
        <v>0</v>
      </c>
    </row>
    <row r="439" spans="1:24" hidden="1" outlineLevel="1">
      <c r="A439" s="58" t="s">
        <v>11</v>
      </c>
      <c r="B439" s="60">
        <v>2905</v>
      </c>
      <c r="C439" s="60" t="s">
        <v>675</v>
      </c>
      <c r="E439" s="11"/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">
        <v>1610000</v>
      </c>
      <c r="S439" s="1" t="s">
        <v>669</v>
      </c>
      <c r="V439" s="1" t="s">
        <v>670</v>
      </c>
      <c r="W439" s="1">
        <v>0</v>
      </c>
    </row>
    <row r="440" spans="1:24" hidden="1" outlineLevel="1">
      <c r="A440" s="58" t="s">
        <v>11</v>
      </c>
      <c r="B440" s="60">
        <v>2920</v>
      </c>
      <c r="C440" s="60" t="s">
        <v>676</v>
      </c>
      <c r="E440" s="11"/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">
        <v>1610000</v>
      </c>
      <c r="S440" s="1" t="s">
        <v>669</v>
      </c>
      <c r="V440" s="1" t="s">
        <v>670</v>
      </c>
      <c r="W440" s="1">
        <v>0</v>
      </c>
    </row>
    <row r="441" spans="1:24" hidden="1" outlineLevel="1">
      <c r="A441" s="58" t="s">
        <v>11</v>
      </c>
      <c r="B441" s="60">
        <v>2930</v>
      </c>
      <c r="C441" s="60" t="s">
        <v>677</v>
      </c>
      <c r="E441" s="11"/>
      <c r="F441" s="12">
        <v>125106</v>
      </c>
      <c r="G441" s="12">
        <v>125106</v>
      </c>
      <c r="H441" s="12">
        <v>125106</v>
      </c>
      <c r="I441" s="12">
        <v>125106</v>
      </c>
      <c r="J441" s="12">
        <v>125106</v>
      </c>
      <c r="K441" s="12">
        <v>125106</v>
      </c>
      <c r="L441" s="12">
        <v>125106</v>
      </c>
      <c r="M441" s="12">
        <v>125106</v>
      </c>
      <c r="N441" s="12">
        <v>125106</v>
      </c>
      <c r="O441" s="12">
        <v>125106</v>
      </c>
      <c r="P441" s="12">
        <v>125106</v>
      </c>
      <c r="Q441" s="12">
        <v>125106</v>
      </c>
      <c r="R441" s="1">
        <v>1610000</v>
      </c>
      <c r="S441" s="1" t="s">
        <v>669</v>
      </c>
      <c r="V441" s="1" t="s">
        <v>672</v>
      </c>
      <c r="W441" s="1">
        <v>0</v>
      </c>
    </row>
    <row r="442" spans="1:24" hidden="1" outlineLevel="1">
      <c r="A442" s="58" t="s">
        <v>11</v>
      </c>
      <c r="B442" s="60">
        <v>2950</v>
      </c>
      <c r="C442" s="60" t="s">
        <v>678</v>
      </c>
      <c r="E442" s="11"/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">
        <v>1610000</v>
      </c>
      <c r="S442" s="1" t="s">
        <v>669</v>
      </c>
      <c r="V442" s="1" t="s">
        <v>670</v>
      </c>
      <c r="W442" s="1">
        <v>0</v>
      </c>
    </row>
    <row r="443" spans="1:24" hidden="1" outlineLevel="1">
      <c r="A443" s="1" t="s">
        <v>587</v>
      </c>
      <c r="B443" s="55">
        <v>695</v>
      </c>
      <c r="C443" s="55" t="s">
        <v>679</v>
      </c>
      <c r="E443" s="24"/>
      <c r="F443" s="56">
        <v>0</v>
      </c>
      <c r="G443" s="56">
        <v>0</v>
      </c>
      <c r="H443" s="56">
        <v>0</v>
      </c>
      <c r="I443" s="56">
        <v>0</v>
      </c>
      <c r="J443" s="56">
        <v>0</v>
      </c>
      <c r="K443" s="56">
        <v>0</v>
      </c>
      <c r="L443" s="56">
        <v>0</v>
      </c>
      <c r="M443" s="56">
        <v>0</v>
      </c>
      <c r="N443" s="56">
        <v>0</v>
      </c>
      <c r="O443" s="56">
        <v>0</v>
      </c>
      <c r="P443" s="56">
        <v>0</v>
      </c>
      <c r="Q443" s="56">
        <v>0</v>
      </c>
      <c r="R443" s="1">
        <v>1610000</v>
      </c>
      <c r="S443" s="1" t="s">
        <v>669</v>
      </c>
      <c r="V443" s="1" t="s">
        <v>670</v>
      </c>
      <c r="W443" s="1">
        <v>0</v>
      </c>
      <c r="X443" s="14"/>
    </row>
    <row r="444" spans="1:24" hidden="1" outlineLevel="1">
      <c r="A444" s="1" t="s">
        <v>587</v>
      </c>
      <c r="B444" s="55">
        <v>696</v>
      </c>
      <c r="C444" s="55" t="s">
        <v>680</v>
      </c>
      <c r="E444" s="24"/>
      <c r="F444" s="56">
        <v>0</v>
      </c>
      <c r="G444" s="56">
        <v>0</v>
      </c>
      <c r="H444" s="56">
        <v>0</v>
      </c>
      <c r="I444" s="56">
        <v>0</v>
      </c>
      <c r="J444" s="56">
        <v>0</v>
      </c>
      <c r="K444" s="56">
        <v>0</v>
      </c>
      <c r="L444" s="56">
        <v>0</v>
      </c>
      <c r="M444" s="56">
        <v>0</v>
      </c>
      <c r="N444" s="56">
        <v>0</v>
      </c>
      <c r="O444" s="56">
        <v>0</v>
      </c>
      <c r="P444" s="56">
        <v>0</v>
      </c>
      <c r="Q444" s="56">
        <v>0</v>
      </c>
      <c r="R444" s="1">
        <v>1610000</v>
      </c>
      <c r="S444" s="1" t="s">
        <v>669</v>
      </c>
      <c r="V444" s="1" t="s">
        <v>670</v>
      </c>
      <c r="W444" s="1">
        <v>0</v>
      </c>
      <c r="X444" s="14"/>
    </row>
    <row r="445" spans="1:24" hidden="1" outlineLevel="1">
      <c r="A445" s="1" t="s">
        <v>587</v>
      </c>
      <c r="B445" s="55">
        <v>935</v>
      </c>
      <c r="C445" s="55" t="s">
        <v>681</v>
      </c>
      <c r="E445" s="24"/>
      <c r="F445" s="56">
        <v>0</v>
      </c>
      <c r="G445" s="56">
        <v>0</v>
      </c>
      <c r="H445" s="56">
        <v>0</v>
      </c>
      <c r="I445" s="56">
        <v>0</v>
      </c>
      <c r="J445" s="56">
        <v>0</v>
      </c>
      <c r="K445" s="56">
        <v>0</v>
      </c>
      <c r="L445" s="56">
        <v>0</v>
      </c>
      <c r="M445" s="56">
        <v>0</v>
      </c>
      <c r="N445" s="56">
        <v>0</v>
      </c>
      <c r="O445" s="56">
        <v>0</v>
      </c>
      <c r="P445" s="56">
        <v>0</v>
      </c>
      <c r="Q445" s="56">
        <v>0</v>
      </c>
      <c r="R445" s="1">
        <v>1610000</v>
      </c>
      <c r="S445" s="1" t="s">
        <v>669</v>
      </c>
      <c r="V445" s="1" t="s">
        <v>670</v>
      </c>
      <c r="W445" s="1">
        <v>0</v>
      </c>
      <c r="X445" s="14"/>
    </row>
    <row r="446" spans="1:24" hidden="1" outlineLevel="1">
      <c r="A446" s="1" t="s">
        <v>587</v>
      </c>
      <c r="B446" s="55">
        <v>69904</v>
      </c>
      <c r="C446" s="55" t="s">
        <v>682</v>
      </c>
      <c r="E446" s="24"/>
      <c r="F446" s="56">
        <v>-726355.07</v>
      </c>
      <c r="G446" s="56">
        <v>-726355.07</v>
      </c>
      <c r="H446" s="56">
        <v>-726355.07</v>
      </c>
      <c r="I446" s="56">
        <v>-726355.07</v>
      </c>
      <c r="J446" s="56">
        <v>-726355.07</v>
      </c>
      <c r="K446" s="56">
        <v>-726355.07</v>
      </c>
      <c r="L446" s="56">
        <v>-726355.07</v>
      </c>
      <c r="M446" s="56">
        <v>-726355.07</v>
      </c>
      <c r="N446" s="56">
        <v>-726355.07</v>
      </c>
      <c r="O446" s="56">
        <v>-726355.07</v>
      </c>
      <c r="P446" s="56">
        <v>-726355.07</v>
      </c>
      <c r="Q446" s="56">
        <v>-726355.07</v>
      </c>
      <c r="R446" s="1">
        <v>1610000</v>
      </c>
      <c r="S446" s="1" t="s">
        <v>669</v>
      </c>
      <c r="V446" s="1" t="s">
        <v>672</v>
      </c>
      <c r="W446" s="1">
        <v>0</v>
      </c>
      <c r="X446" s="14"/>
    </row>
    <row r="447" spans="1:24" hidden="1" outlineLevel="1">
      <c r="A447" s="1" t="s">
        <v>587</v>
      </c>
      <c r="B447" s="55">
        <v>786</v>
      </c>
      <c r="C447" s="55" t="s">
        <v>683</v>
      </c>
      <c r="E447" s="24"/>
      <c r="F447" s="56">
        <v>1</v>
      </c>
      <c r="G447" s="56">
        <v>1</v>
      </c>
      <c r="H447" s="56">
        <v>1</v>
      </c>
      <c r="I447" s="56">
        <v>1</v>
      </c>
      <c r="J447" s="56">
        <v>1</v>
      </c>
      <c r="K447" s="56">
        <v>1</v>
      </c>
      <c r="L447" s="56">
        <v>1</v>
      </c>
      <c r="M447" s="56">
        <v>1</v>
      </c>
      <c r="N447" s="56">
        <v>1</v>
      </c>
      <c r="O447" s="56">
        <v>1</v>
      </c>
      <c r="P447" s="56">
        <v>1</v>
      </c>
      <c r="Q447" s="56">
        <v>1</v>
      </c>
      <c r="R447" s="1">
        <v>1610000</v>
      </c>
      <c r="S447" s="1" t="s">
        <v>669</v>
      </c>
      <c r="V447" s="1" t="s">
        <v>684</v>
      </c>
      <c r="W447" s="1">
        <v>0</v>
      </c>
      <c r="X447" s="14"/>
    </row>
    <row r="448" spans="1:24" hidden="1" outlineLevel="1">
      <c r="B448" s="36"/>
      <c r="C448" s="36" t="s">
        <v>685</v>
      </c>
      <c r="E448" s="11"/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61">
        <v>1610000</v>
      </c>
      <c r="S448" s="61" t="s">
        <v>669</v>
      </c>
      <c r="T448" s="61"/>
      <c r="U448" s="61"/>
    </row>
    <row r="449" spans="1:24" hidden="1" outlineLevel="1">
      <c r="B449" s="36"/>
      <c r="C449" s="36" t="s">
        <v>685</v>
      </c>
      <c r="E449" s="11"/>
      <c r="F449" s="12">
        <v>-158451.22168796934</v>
      </c>
      <c r="G449" s="12">
        <v>-158451.22168796934</v>
      </c>
      <c r="H449" s="12">
        <v>-158451.22168796934</v>
      </c>
      <c r="I449" s="12">
        <v>-158451.22168796934</v>
      </c>
      <c r="J449" s="12">
        <v>-158451.22168796934</v>
      </c>
      <c r="K449" s="12">
        <v>-158451.22168796934</v>
      </c>
      <c r="L449" s="12">
        <v>-158451.22168796934</v>
      </c>
      <c r="M449" s="12">
        <v>-158451.22168796934</v>
      </c>
      <c r="N449" s="12">
        <v>-158451.22168796934</v>
      </c>
      <c r="O449" s="12">
        <v>-158451.22168796934</v>
      </c>
      <c r="P449" s="12">
        <v>-158451.22168796934</v>
      </c>
      <c r="Q449" s="12">
        <v>-158451.22168796934</v>
      </c>
      <c r="R449" s="61">
        <v>1610000</v>
      </c>
      <c r="S449" s="61" t="s">
        <v>669</v>
      </c>
      <c r="T449" s="61"/>
      <c r="U449" s="61"/>
    </row>
    <row r="450" spans="1:24" hidden="1" outlineLevel="1">
      <c r="B450" s="62" t="s">
        <v>686</v>
      </c>
      <c r="C450" s="63"/>
      <c r="E450" s="64"/>
      <c r="F450" s="64">
        <f t="shared" ref="F450:Q450" si="21">SUM(F350:F449)</f>
        <v>5176109.7993274936</v>
      </c>
      <c r="G450" s="64">
        <f t="shared" si="21"/>
        <v>6762899.9082746226</v>
      </c>
      <c r="H450" s="64">
        <f t="shared" si="21"/>
        <v>6837953.0572169349</v>
      </c>
      <c r="I450" s="64">
        <f t="shared" si="21"/>
        <v>6920806.2061592471</v>
      </c>
      <c r="J450" s="64">
        <f t="shared" si="21"/>
        <v>6989492.6884348961</v>
      </c>
      <c r="K450" s="64">
        <f t="shared" si="21"/>
        <v>7051462.5040438743</v>
      </c>
      <c r="L450" s="64">
        <f t="shared" si="21"/>
        <v>7157618.9863195214</v>
      </c>
      <c r="M450" s="64">
        <f t="shared" si="21"/>
        <v>7260087.5808716919</v>
      </c>
      <c r="N450" s="64">
        <f t="shared" si="21"/>
        <v>7319822.8420905247</v>
      </c>
      <c r="O450" s="64">
        <f t="shared" si="21"/>
        <v>7422991.4366426934</v>
      </c>
      <c r="P450" s="64">
        <f t="shared" si="21"/>
        <v>7508460.8883377193</v>
      </c>
      <c r="Q450" s="64">
        <f t="shared" si="21"/>
        <v>7554829.482889886</v>
      </c>
      <c r="X450" s="14"/>
    </row>
    <row r="451" spans="1:24" hidden="1" outlineLevel="1">
      <c r="B451" s="53"/>
      <c r="C451" s="25"/>
    </row>
    <row r="452" spans="1:24" hidden="1" outlineLevel="1">
      <c r="B452" s="53" t="s">
        <v>687</v>
      </c>
      <c r="C452" s="25"/>
    </row>
    <row r="453" spans="1:24" hidden="1" outlineLevel="1">
      <c r="A453" s="1" t="s">
        <v>11</v>
      </c>
      <c r="B453" s="25">
        <v>2100</v>
      </c>
      <c r="C453" s="25" t="s">
        <v>128</v>
      </c>
      <c r="E453" s="11"/>
      <c r="F453" s="54">
        <v>231691.33809523808</v>
      </c>
      <c r="G453" s="54">
        <v>231691.33809523808</v>
      </c>
      <c r="H453" s="54">
        <v>231691.33809523808</v>
      </c>
      <c r="I453" s="54">
        <v>231691.33809523808</v>
      </c>
      <c r="J453" s="54">
        <v>231691.33809523808</v>
      </c>
      <c r="K453" s="54">
        <v>231691.33809523808</v>
      </c>
      <c r="L453" s="54">
        <v>231691.33809523808</v>
      </c>
      <c r="M453" s="54">
        <v>231691.33809523808</v>
      </c>
      <c r="N453" s="54">
        <v>231691.33809523808</v>
      </c>
      <c r="O453" s="54">
        <v>231691.33809523808</v>
      </c>
      <c r="P453" s="54">
        <v>231691.33809523808</v>
      </c>
      <c r="Q453" s="54">
        <v>231691.33809523808</v>
      </c>
      <c r="R453" s="1">
        <v>2010000</v>
      </c>
      <c r="S453" s="1" t="s">
        <v>688</v>
      </c>
      <c r="V453" s="1" t="s">
        <v>689</v>
      </c>
      <c r="W453" s="1">
        <v>0</v>
      </c>
    </row>
    <row r="454" spans="1:24" hidden="1" outlineLevel="1">
      <c r="A454" s="1" t="s">
        <v>11</v>
      </c>
      <c r="B454" s="25">
        <v>2150</v>
      </c>
      <c r="C454" s="25" t="s">
        <v>690</v>
      </c>
      <c r="E454" s="11"/>
      <c r="F454" s="12">
        <v>516727</v>
      </c>
      <c r="G454" s="12">
        <v>516727</v>
      </c>
      <c r="H454" s="12">
        <v>516727</v>
      </c>
      <c r="I454" s="12">
        <v>516727</v>
      </c>
      <c r="J454" s="12">
        <v>516727</v>
      </c>
      <c r="K454" s="12">
        <v>516727</v>
      </c>
      <c r="L454" s="12">
        <v>516727</v>
      </c>
      <c r="M454" s="12">
        <v>516727</v>
      </c>
      <c r="N454" s="12">
        <v>516727</v>
      </c>
      <c r="O454" s="12">
        <v>516727</v>
      </c>
      <c r="P454" s="12">
        <v>516727</v>
      </c>
      <c r="Q454" s="12">
        <v>516727</v>
      </c>
      <c r="R454" s="1">
        <v>2040000</v>
      </c>
      <c r="S454" s="1" t="s">
        <v>691</v>
      </c>
      <c r="V454" s="1" t="s">
        <v>691</v>
      </c>
      <c r="W454" s="1">
        <v>0</v>
      </c>
    </row>
    <row r="455" spans="1:24" hidden="1" outlineLevel="1">
      <c r="A455" s="1" t="s">
        <v>11</v>
      </c>
      <c r="B455" s="25">
        <v>2160</v>
      </c>
      <c r="C455" s="25" t="s">
        <v>692</v>
      </c>
      <c r="E455" s="11"/>
      <c r="F455" s="12">
        <v>105150</v>
      </c>
      <c r="G455" s="12">
        <v>105150</v>
      </c>
      <c r="H455" s="12">
        <v>105150</v>
      </c>
      <c r="I455" s="12">
        <v>105150</v>
      </c>
      <c r="J455" s="12">
        <v>105150</v>
      </c>
      <c r="K455" s="12">
        <v>105150</v>
      </c>
      <c r="L455" s="12">
        <v>105150</v>
      </c>
      <c r="M455" s="12">
        <v>105150</v>
      </c>
      <c r="N455" s="12">
        <v>105150</v>
      </c>
      <c r="O455" s="12">
        <v>105150</v>
      </c>
      <c r="P455" s="12">
        <v>105150</v>
      </c>
      <c r="Q455" s="12">
        <v>105150</v>
      </c>
      <c r="R455" s="1">
        <v>2040000</v>
      </c>
      <c r="S455" s="1" t="s">
        <v>691</v>
      </c>
      <c r="V455" s="1" t="s">
        <v>691</v>
      </c>
      <c r="W455" s="1">
        <v>0</v>
      </c>
    </row>
    <row r="456" spans="1:24" hidden="1" outlineLevel="1">
      <c r="A456" s="1" t="s">
        <v>11</v>
      </c>
      <c r="B456" s="25">
        <v>2190</v>
      </c>
      <c r="C456" s="25" t="s">
        <v>693</v>
      </c>
      <c r="E456" s="11"/>
      <c r="F456" s="12">
        <v>330475</v>
      </c>
      <c r="G456" s="12">
        <v>330475</v>
      </c>
      <c r="H456" s="12">
        <v>330475</v>
      </c>
      <c r="I456" s="12">
        <v>330475</v>
      </c>
      <c r="J456" s="12">
        <v>330475</v>
      </c>
      <c r="K456" s="12">
        <v>330475</v>
      </c>
      <c r="L456" s="12">
        <v>330475</v>
      </c>
      <c r="M456" s="12">
        <v>330475</v>
      </c>
      <c r="N456" s="12">
        <v>330475</v>
      </c>
      <c r="O456" s="12">
        <v>330475</v>
      </c>
      <c r="P456" s="12">
        <v>330475</v>
      </c>
      <c r="Q456" s="12">
        <v>330475</v>
      </c>
      <c r="R456" s="1">
        <v>2120000</v>
      </c>
      <c r="S456" s="1" t="s">
        <v>695</v>
      </c>
      <c r="V456" s="1" t="s">
        <v>694</v>
      </c>
      <c r="W456" s="1">
        <v>0</v>
      </c>
    </row>
    <row r="457" spans="1:24" hidden="1" outlineLevel="1">
      <c r="A457" s="1" t="s">
        <v>11</v>
      </c>
      <c r="B457" s="25">
        <v>2200</v>
      </c>
      <c r="C457" s="25" t="s">
        <v>696</v>
      </c>
      <c r="E457" s="11"/>
      <c r="F457" s="12">
        <v>11170</v>
      </c>
      <c r="G457" s="12">
        <v>11170</v>
      </c>
      <c r="H457" s="12">
        <v>11170</v>
      </c>
      <c r="I457" s="12">
        <v>11170</v>
      </c>
      <c r="J457" s="12">
        <v>11170</v>
      </c>
      <c r="K457" s="12">
        <v>11170</v>
      </c>
      <c r="L457" s="12">
        <v>11170</v>
      </c>
      <c r="M457" s="12">
        <v>11170</v>
      </c>
      <c r="N457" s="12">
        <v>11170</v>
      </c>
      <c r="O457" s="12">
        <v>11170</v>
      </c>
      <c r="P457" s="12">
        <v>11170</v>
      </c>
      <c r="Q457" s="12">
        <v>11170</v>
      </c>
      <c r="R457" s="1">
        <v>2180000</v>
      </c>
      <c r="S457" s="1" t="s">
        <v>697</v>
      </c>
      <c r="V457" s="1" t="s">
        <v>698</v>
      </c>
      <c r="W457" s="1">
        <v>0</v>
      </c>
    </row>
    <row r="458" spans="1:24" hidden="1" outlineLevel="1">
      <c r="A458" s="1" t="s">
        <v>11</v>
      </c>
      <c r="B458" s="25">
        <v>2300</v>
      </c>
      <c r="C458" s="25" t="s">
        <v>699</v>
      </c>
      <c r="E458" s="11"/>
      <c r="F458" s="12">
        <v>93336</v>
      </c>
      <c r="G458" s="12">
        <v>93336</v>
      </c>
      <c r="H458" s="12">
        <v>93336</v>
      </c>
      <c r="I458" s="12">
        <v>93336</v>
      </c>
      <c r="J458" s="12">
        <v>93336</v>
      </c>
      <c r="K458" s="12">
        <v>93336</v>
      </c>
      <c r="L458" s="12">
        <v>93336</v>
      </c>
      <c r="M458" s="12">
        <v>93336</v>
      </c>
      <c r="N458" s="12">
        <v>93336</v>
      </c>
      <c r="O458" s="12">
        <v>93336</v>
      </c>
      <c r="P458" s="12">
        <v>93336</v>
      </c>
      <c r="Q458" s="12">
        <v>93336</v>
      </c>
      <c r="R458" s="1">
        <v>2040000</v>
      </c>
      <c r="S458" s="1" t="s">
        <v>691</v>
      </c>
      <c r="V458" s="1" t="s">
        <v>691</v>
      </c>
      <c r="W458" s="1">
        <v>0</v>
      </c>
    </row>
    <row r="459" spans="1:24" hidden="1" outlineLevel="1">
      <c r="A459" s="1" t="s">
        <v>11</v>
      </c>
      <c r="B459" s="25">
        <v>2400</v>
      </c>
      <c r="C459" s="25" t="s">
        <v>700</v>
      </c>
      <c r="E459" s="11"/>
      <c r="F459" s="12">
        <v>928511</v>
      </c>
      <c r="G459" s="12">
        <v>928511</v>
      </c>
      <c r="H459" s="12">
        <v>928511</v>
      </c>
      <c r="I459" s="12">
        <v>928511</v>
      </c>
      <c r="J459" s="12">
        <v>928511</v>
      </c>
      <c r="K459" s="12">
        <v>928511</v>
      </c>
      <c r="L459" s="12">
        <v>928511</v>
      </c>
      <c r="M459" s="12">
        <v>928511</v>
      </c>
      <c r="N459" s="12">
        <v>928511</v>
      </c>
      <c r="O459" s="12">
        <v>928511</v>
      </c>
      <c r="P459" s="12">
        <v>928511</v>
      </c>
      <c r="Q459" s="12">
        <v>928511</v>
      </c>
      <c r="R459" s="1">
        <v>2060000</v>
      </c>
      <c r="S459" s="1" t="s">
        <v>702</v>
      </c>
      <c r="V459" s="1" t="s">
        <v>701</v>
      </c>
      <c r="W459" s="1">
        <v>0</v>
      </c>
    </row>
    <row r="460" spans="1:24" hidden="1" outlineLevel="1">
      <c r="A460" s="1" t="s">
        <v>11</v>
      </c>
      <c r="B460" s="25">
        <v>2410</v>
      </c>
      <c r="C460" s="25" t="s">
        <v>703</v>
      </c>
      <c r="E460" s="11"/>
      <c r="F460" s="12">
        <v>658678</v>
      </c>
      <c r="G460" s="12">
        <v>658678</v>
      </c>
      <c r="H460" s="12">
        <v>658678</v>
      </c>
      <c r="I460" s="12">
        <v>658678</v>
      </c>
      <c r="J460" s="12">
        <v>658678</v>
      </c>
      <c r="K460" s="12">
        <v>658678</v>
      </c>
      <c r="L460" s="12">
        <v>658678</v>
      </c>
      <c r="M460" s="12">
        <v>658678</v>
      </c>
      <c r="N460" s="12">
        <v>658678</v>
      </c>
      <c r="O460" s="12">
        <v>658678</v>
      </c>
      <c r="P460" s="12">
        <v>658678</v>
      </c>
      <c r="Q460" s="12">
        <v>658678</v>
      </c>
      <c r="R460" s="1">
        <v>2070000</v>
      </c>
      <c r="S460" s="1" t="s">
        <v>705</v>
      </c>
      <c r="V460" s="1" t="s">
        <v>704</v>
      </c>
      <c r="W460" s="1">
        <v>0</v>
      </c>
    </row>
    <row r="461" spans="1:24" hidden="1" outlineLevel="1">
      <c r="A461" s="1" t="s">
        <v>11</v>
      </c>
      <c r="B461" s="36">
        <v>2480</v>
      </c>
      <c r="C461" s="36" t="s">
        <v>521</v>
      </c>
      <c r="E461" s="11"/>
      <c r="F461" s="12">
        <v>47076</v>
      </c>
      <c r="G461" s="12">
        <v>223629.41341246155</v>
      </c>
      <c r="H461" s="12">
        <v>227156.28482898924</v>
      </c>
      <c r="I461" s="12">
        <v>230630.87304820455</v>
      </c>
      <c r="J461" s="12">
        <v>234052.95891637207</v>
      </c>
      <c r="K461" s="12">
        <v>237422.32236113699</v>
      </c>
      <c r="L461" s="12">
        <v>240738.74238767455</v>
      </c>
      <c r="M461" s="12">
        <v>244001.99707482333</v>
      </c>
      <c r="N461" s="12">
        <v>247211.86357120241</v>
      </c>
      <c r="O461" s="12">
        <v>250368.11809131215</v>
      </c>
      <c r="P461" s="12">
        <v>253470.5359116187</v>
      </c>
      <c r="Q461" s="12">
        <v>256518.89136662203</v>
      </c>
      <c r="R461" s="1">
        <v>2510000</v>
      </c>
      <c r="S461" s="1" t="s">
        <v>706</v>
      </c>
      <c r="V461" s="1" t="s">
        <v>707</v>
      </c>
      <c r="W461" s="1">
        <v>0</v>
      </c>
    </row>
    <row r="462" spans="1:24" hidden="1" outlineLevel="1">
      <c r="A462" s="1" t="s">
        <v>11</v>
      </c>
      <c r="B462" s="36">
        <v>2600</v>
      </c>
      <c r="C462" s="36" t="s">
        <v>708</v>
      </c>
      <c r="E462" s="11"/>
      <c r="F462" s="12">
        <v>-120874</v>
      </c>
      <c r="G462" s="12">
        <v>-120874</v>
      </c>
      <c r="H462" s="12">
        <v>-120874</v>
      </c>
      <c r="I462" s="12">
        <v>-120874</v>
      </c>
      <c r="J462" s="12">
        <v>-120874</v>
      </c>
      <c r="K462" s="12">
        <v>-120874</v>
      </c>
      <c r="L462" s="12">
        <v>-120874</v>
      </c>
      <c r="M462" s="12">
        <v>-120874</v>
      </c>
      <c r="N462" s="12">
        <v>-120874</v>
      </c>
      <c r="O462" s="12">
        <v>-120874</v>
      </c>
      <c r="P462" s="12">
        <v>-120874</v>
      </c>
      <c r="Q462" s="12">
        <v>-120874</v>
      </c>
      <c r="R462" s="1">
        <v>2030000</v>
      </c>
      <c r="S462" s="1" t="s">
        <v>709</v>
      </c>
      <c r="V462" s="1" t="s">
        <v>710</v>
      </c>
      <c r="W462" s="1">
        <v>0</v>
      </c>
    </row>
    <row r="463" spans="1:24" hidden="1" outlineLevel="1">
      <c r="A463" s="1" t="s">
        <v>11</v>
      </c>
      <c r="B463" s="36">
        <v>2610</v>
      </c>
      <c r="C463" s="36" t="s">
        <v>711</v>
      </c>
      <c r="E463" s="11"/>
      <c r="F463" s="12">
        <v>228508</v>
      </c>
      <c r="G463" s="12">
        <v>228508</v>
      </c>
      <c r="H463" s="12">
        <v>228508</v>
      </c>
      <c r="I463" s="12">
        <v>228508</v>
      </c>
      <c r="J463" s="12">
        <v>228508</v>
      </c>
      <c r="K463" s="12">
        <v>228508</v>
      </c>
      <c r="L463" s="12">
        <v>228508</v>
      </c>
      <c r="M463" s="12">
        <v>228508</v>
      </c>
      <c r="N463" s="12">
        <v>228508</v>
      </c>
      <c r="O463" s="12">
        <v>228508</v>
      </c>
      <c r="P463" s="12">
        <v>228508</v>
      </c>
      <c r="Q463" s="12">
        <v>228508</v>
      </c>
      <c r="R463" s="1">
        <v>2030000</v>
      </c>
      <c r="S463" s="1" t="s">
        <v>709</v>
      </c>
      <c r="V463" s="1" t="s">
        <v>710</v>
      </c>
      <c r="W463" s="1">
        <v>0</v>
      </c>
    </row>
    <row r="464" spans="1:24" hidden="1" outlineLevel="1">
      <c r="A464" s="1" t="s">
        <v>11</v>
      </c>
      <c r="B464" s="36">
        <v>2630</v>
      </c>
      <c r="C464" s="36" t="s">
        <v>712</v>
      </c>
      <c r="E464" s="11"/>
      <c r="F464" s="12">
        <v>-8225</v>
      </c>
      <c r="G464" s="12">
        <v>-8225</v>
      </c>
      <c r="H464" s="12">
        <v>-8225</v>
      </c>
      <c r="I464" s="12">
        <v>-8225</v>
      </c>
      <c r="J464" s="12">
        <v>-8225</v>
      </c>
      <c r="K464" s="12">
        <v>-8225</v>
      </c>
      <c r="L464" s="12">
        <v>-8225</v>
      </c>
      <c r="M464" s="12">
        <v>-8225</v>
      </c>
      <c r="N464" s="12">
        <v>-8225</v>
      </c>
      <c r="O464" s="12">
        <v>-8225</v>
      </c>
      <c r="P464" s="12">
        <v>-8225</v>
      </c>
      <c r="Q464" s="12">
        <v>-8225</v>
      </c>
      <c r="R464" s="1">
        <v>2030000</v>
      </c>
      <c r="S464" s="1" t="s">
        <v>709</v>
      </c>
      <c r="V464" s="1" t="s">
        <v>710</v>
      </c>
      <c r="W464" s="1">
        <v>0</v>
      </c>
    </row>
    <row r="465" spans="1:24" hidden="1" outlineLevel="1">
      <c r="A465" s="1" t="s">
        <v>11</v>
      </c>
      <c r="B465" s="36">
        <v>2710</v>
      </c>
      <c r="C465" s="36" t="s">
        <v>713</v>
      </c>
      <c r="E465" s="11"/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">
        <v>2050000</v>
      </c>
      <c r="S465" s="1" t="s">
        <v>714</v>
      </c>
      <c r="V465" s="1" t="s">
        <v>715</v>
      </c>
      <c r="W465" s="1">
        <v>0</v>
      </c>
    </row>
    <row r="466" spans="1:24" hidden="1" outlineLevel="1">
      <c r="A466" s="1" t="s">
        <v>11</v>
      </c>
      <c r="B466" s="36">
        <v>2720</v>
      </c>
      <c r="C466" s="36" t="s">
        <v>360</v>
      </c>
      <c r="E466" s="11"/>
      <c r="F466" s="12">
        <v>277037.5</v>
      </c>
      <c r="G466" s="12">
        <v>277037.5</v>
      </c>
      <c r="H466" s="12">
        <v>277037.5</v>
      </c>
      <c r="I466" s="12">
        <v>277037.5</v>
      </c>
      <c r="J466" s="12">
        <v>277037.5</v>
      </c>
      <c r="K466" s="12">
        <v>277037.5</v>
      </c>
      <c r="L466" s="12">
        <v>277037.5</v>
      </c>
      <c r="M466" s="12">
        <v>277037.5</v>
      </c>
      <c r="N466" s="12">
        <v>277037.5</v>
      </c>
      <c r="O466" s="12">
        <v>277037.5</v>
      </c>
      <c r="P466" s="12">
        <v>277037.5</v>
      </c>
      <c r="Q466" s="12">
        <v>277037.5</v>
      </c>
      <c r="R466" s="1">
        <v>2080000</v>
      </c>
      <c r="S466" s="1" t="s">
        <v>716</v>
      </c>
      <c r="V466" s="1" t="s">
        <v>717</v>
      </c>
      <c r="W466" s="1">
        <v>0</v>
      </c>
    </row>
    <row r="467" spans="1:24" hidden="1" outlineLevel="1">
      <c r="A467" s="1" t="s">
        <v>11</v>
      </c>
      <c r="B467" s="36">
        <v>2725</v>
      </c>
      <c r="C467" s="36" t="s">
        <v>364</v>
      </c>
      <c r="E467" s="11"/>
      <c r="F467" s="12">
        <v>164735.5</v>
      </c>
      <c r="G467" s="12">
        <v>164735.5</v>
      </c>
      <c r="H467" s="12">
        <v>164735.5</v>
      </c>
      <c r="I467" s="12">
        <v>164735.5</v>
      </c>
      <c r="J467" s="12">
        <v>164735.5</v>
      </c>
      <c r="K467" s="12">
        <v>164735.5</v>
      </c>
      <c r="L467" s="12">
        <v>164735.5</v>
      </c>
      <c r="M467" s="12">
        <v>164735.5</v>
      </c>
      <c r="N467" s="12">
        <v>164735.5</v>
      </c>
      <c r="O467" s="12">
        <v>164735.5</v>
      </c>
      <c r="P467" s="12">
        <v>164735.5</v>
      </c>
      <c r="Q467" s="12">
        <v>164735.5</v>
      </c>
      <c r="R467" s="1">
        <v>2080000</v>
      </c>
      <c r="S467" s="1" t="s">
        <v>716</v>
      </c>
      <c r="V467" s="1" t="s">
        <v>717</v>
      </c>
      <c r="W467" s="1">
        <v>0</v>
      </c>
    </row>
    <row r="468" spans="1:24" hidden="1" outlineLevel="1">
      <c r="A468" s="1" t="s">
        <v>11</v>
      </c>
      <c r="B468" s="36">
        <v>2740</v>
      </c>
      <c r="C468" s="36" t="s">
        <v>718</v>
      </c>
      <c r="E468" s="11"/>
      <c r="F468" s="12">
        <v>171194</v>
      </c>
      <c r="G468" s="12">
        <v>171194</v>
      </c>
      <c r="H468" s="12">
        <v>171194</v>
      </c>
      <c r="I468" s="12">
        <v>171194</v>
      </c>
      <c r="J468" s="12">
        <v>171194</v>
      </c>
      <c r="K468" s="12">
        <v>171194</v>
      </c>
      <c r="L468" s="12">
        <v>171194</v>
      </c>
      <c r="M468" s="12">
        <v>171194</v>
      </c>
      <c r="N468" s="12">
        <v>171194</v>
      </c>
      <c r="O468" s="12">
        <v>171194</v>
      </c>
      <c r="P468" s="12">
        <v>171194</v>
      </c>
      <c r="Q468" s="12">
        <v>171194</v>
      </c>
      <c r="R468" s="1">
        <v>2050000</v>
      </c>
      <c r="S468" s="1" t="s">
        <v>714</v>
      </c>
      <c r="V468" s="1" t="s">
        <v>715</v>
      </c>
      <c r="W468" s="1">
        <v>0</v>
      </c>
    </row>
    <row r="469" spans="1:24" hidden="1" outlineLevel="1">
      <c r="A469" s="1" t="s">
        <v>11</v>
      </c>
      <c r="B469" s="36">
        <v>2750</v>
      </c>
      <c r="C469" s="36" t="s">
        <v>719</v>
      </c>
      <c r="E469" s="11"/>
      <c r="F469" s="12">
        <v>27771</v>
      </c>
      <c r="G469" s="12">
        <v>27771</v>
      </c>
      <c r="H469" s="12">
        <v>27771</v>
      </c>
      <c r="I469" s="12">
        <v>27771</v>
      </c>
      <c r="J469" s="12">
        <v>27771</v>
      </c>
      <c r="K469" s="12">
        <v>27771</v>
      </c>
      <c r="L469" s="12">
        <v>27771</v>
      </c>
      <c r="M469" s="12">
        <v>27771</v>
      </c>
      <c r="N469" s="12">
        <v>27771</v>
      </c>
      <c r="O469" s="12">
        <v>27771</v>
      </c>
      <c r="P469" s="12">
        <v>27771</v>
      </c>
      <c r="Q469" s="12">
        <v>27771</v>
      </c>
      <c r="R469" s="1">
        <v>2030000</v>
      </c>
      <c r="S469" s="1" t="s">
        <v>709</v>
      </c>
      <c r="V469" s="1" t="s">
        <v>709</v>
      </c>
      <c r="W469" s="1">
        <v>0</v>
      </c>
    </row>
    <row r="470" spans="1:24" hidden="1" outlineLevel="1">
      <c r="A470" s="1" t="s">
        <v>11</v>
      </c>
      <c r="B470" s="36">
        <v>2700</v>
      </c>
      <c r="C470" s="36" t="s">
        <v>720</v>
      </c>
      <c r="E470" s="11"/>
      <c r="F470" s="12">
        <v>47309</v>
      </c>
      <c r="G470" s="12">
        <v>47309</v>
      </c>
      <c r="H470" s="12">
        <v>47309</v>
      </c>
      <c r="I470" s="12">
        <v>47309</v>
      </c>
      <c r="J470" s="12">
        <v>47309</v>
      </c>
      <c r="K470" s="12">
        <v>47309</v>
      </c>
      <c r="L470" s="12">
        <v>47309</v>
      </c>
      <c r="M470" s="12">
        <v>47309</v>
      </c>
      <c r="N470" s="12">
        <v>47309</v>
      </c>
      <c r="O470" s="12">
        <v>47309</v>
      </c>
      <c r="P470" s="12">
        <v>47309</v>
      </c>
      <c r="Q470" s="12">
        <v>47309</v>
      </c>
      <c r="R470" s="1">
        <v>2050000</v>
      </c>
      <c r="S470" s="1" t="s">
        <v>714</v>
      </c>
      <c r="V470" s="1" t="s">
        <v>715</v>
      </c>
      <c r="W470" s="1">
        <v>0</v>
      </c>
    </row>
    <row r="471" spans="1:24" hidden="1" outlineLevel="1">
      <c r="A471" s="1" t="s">
        <v>11</v>
      </c>
      <c r="B471" s="36">
        <v>2760</v>
      </c>
      <c r="C471" s="36" t="s">
        <v>721</v>
      </c>
      <c r="E471" s="11"/>
      <c r="F471" s="12">
        <v>349984</v>
      </c>
      <c r="G471" s="12">
        <v>349984</v>
      </c>
      <c r="H471" s="12">
        <v>349984</v>
      </c>
      <c r="I471" s="12">
        <v>349984</v>
      </c>
      <c r="J471" s="12">
        <v>349984</v>
      </c>
      <c r="K471" s="12">
        <v>349984</v>
      </c>
      <c r="L471" s="12">
        <v>349984</v>
      </c>
      <c r="M471" s="12">
        <v>349984</v>
      </c>
      <c r="N471" s="12">
        <v>349984</v>
      </c>
      <c r="O471" s="12">
        <v>349984</v>
      </c>
      <c r="P471" s="12">
        <v>349984</v>
      </c>
      <c r="Q471" s="12">
        <v>349984</v>
      </c>
      <c r="R471" s="1">
        <v>2180000</v>
      </c>
      <c r="S471" s="1" t="s">
        <v>697</v>
      </c>
      <c r="V471" s="1" t="s">
        <v>672</v>
      </c>
      <c r="W471" s="1">
        <v>0</v>
      </c>
    </row>
    <row r="472" spans="1:24" hidden="1" outlineLevel="1">
      <c r="A472" s="1" t="s">
        <v>11</v>
      </c>
      <c r="B472" s="36">
        <v>2820</v>
      </c>
      <c r="C472" s="36" t="s">
        <v>722</v>
      </c>
      <c r="E472" s="11"/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">
        <v>2180000</v>
      </c>
      <c r="S472" s="1" t="s">
        <v>697</v>
      </c>
      <c r="V472" s="1" t="e">
        <v>#N/A</v>
      </c>
      <c r="W472" s="1">
        <v>0</v>
      </c>
    </row>
    <row r="473" spans="1:24" hidden="1" outlineLevel="1">
      <c r="A473" s="1" t="s">
        <v>11</v>
      </c>
      <c r="B473" s="36">
        <v>2830</v>
      </c>
      <c r="C473" s="36" t="s">
        <v>723</v>
      </c>
      <c r="E473" s="11"/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">
        <v>2180000</v>
      </c>
      <c r="S473" s="1" t="s">
        <v>697</v>
      </c>
      <c r="V473" s="1" t="e">
        <v>#N/A</v>
      </c>
      <c r="W473" s="1">
        <v>0</v>
      </c>
    </row>
    <row r="474" spans="1:24" hidden="1" outlineLevel="1">
      <c r="A474" s="1" t="s">
        <v>11</v>
      </c>
      <c r="B474" s="36">
        <v>2840</v>
      </c>
      <c r="C474" s="36" t="s">
        <v>724</v>
      </c>
      <c r="E474" s="11"/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">
        <v>2180000</v>
      </c>
      <c r="S474" s="1" t="s">
        <v>697</v>
      </c>
      <c r="V474" s="1" t="e">
        <v>#N/A</v>
      </c>
      <c r="W474" s="1">
        <v>0</v>
      </c>
    </row>
    <row r="475" spans="1:24" hidden="1" outlineLevel="1">
      <c r="A475" s="1" t="s">
        <v>11</v>
      </c>
      <c r="B475" s="36">
        <v>2726</v>
      </c>
      <c r="C475" s="36" t="s">
        <v>725</v>
      </c>
      <c r="E475" s="11"/>
      <c r="F475" s="12">
        <v>78004</v>
      </c>
      <c r="G475" s="12">
        <v>78004</v>
      </c>
      <c r="H475" s="12">
        <v>78004</v>
      </c>
      <c r="I475" s="12">
        <v>78004</v>
      </c>
      <c r="J475" s="12">
        <v>78004</v>
      </c>
      <c r="K475" s="12">
        <v>78004</v>
      </c>
      <c r="L475" s="12">
        <v>78004</v>
      </c>
      <c r="M475" s="12">
        <v>78004</v>
      </c>
      <c r="N475" s="12">
        <v>78004</v>
      </c>
      <c r="O475" s="12">
        <v>78004</v>
      </c>
      <c r="P475" s="12">
        <v>78004</v>
      </c>
      <c r="Q475" s="12">
        <v>78004</v>
      </c>
      <c r="R475" s="1">
        <v>2080000</v>
      </c>
      <c r="S475" s="1" t="s">
        <v>716</v>
      </c>
      <c r="V475" s="1" t="s">
        <v>726</v>
      </c>
      <c r="W475" s="1">
        <v>0</v>
      </c>
    </row>
    <row r="476" spans="1:24" hidden="1" outlineLevel="1">
      <c r="A476" s="1" t="s">
        <v>11</v>
      </c>
      <c r="B476" s="36">
        <v>2805</v>
      </c>
      <c r="C476" s="36" t="s">
        <v>727</v>
      </c>
      <c r="E476" s="11"/>
      <c r="F476" s="12">
        <v>0</v>
      </c>
      <c r="G476" s="12">
        <v>1305795.8163005761</v>
      </c>
      <c r="H476" s="12">
        <v>1305795.8163005761</v>
      </c>
      <c r="I476" s="12">
        <v>1305795.8163005761</v>
      </c>
      <c r="J476" s="12">
        <v>1305795.8163005761</v>
      </c>
      <c r="K476" s="12">
        <v>1305795.8163005761</v>
      </c>
      <c r="L476" s="12">
        <v>1305795.8163005761</v>
      </c>
      <c r="M476" s="12">
        <v>1305795.8163005761</v>
      </c>
      <c r="N476" s="12">
        <v>1305795.8163005761</v>
      </c>
      <c r="O476" s="12">
        <v>1305795.8163005761</v>
      </c>
      <c r="P476" s="12">
        <v>1305795.8163005761</v>
      </c>
      <c r="Q476" s="12">
        <v>1305795.8163005761</v>
      </c>
      <c r="R476" s="1">
        <v>2160000</v>
      </c>
      <c r="S476" s="1" t="s">
        <v>728</v>
      </c>
      <c r="V476" s="1" t="s">
        <v>729</v>
      </c>
      <c r="W476" s="1">
        <v>0</v>
      </c>
    </row>
    <row r="477" spans="1:24" hidden="1" outlineLevel="1">
      <c r="A477" s="1" t="s">
        <v>11</v>
      </c>
      <c r="B477" s="36">
        <v>2807</v>
      </c>
      <c r="C477" s="36" t="s">
        <v>730</v>
      </c>
      <c r="E477" s="11"/>
      <c r="F477" s="12">
        <v>78000</v>
      </c>
      <c r="G477" s="12">
        <v>78000</v>
      </c>
      <c r="H477" s="12">
        <v>78000</v>
      </c>
      <c r="I477" s="12">
        <v>78000</v>
      </c>
      <c r="J477" s="12">
        <v>78000</v>
      </c>
      <c r="K477" s="12">
        <v>78000</v>
      </c>
      <c r="L477" s="12">
        <v>78000</v>
      </c>
      <c r="M477" s="12">
        <v>78000</v>
      </c>
      <c r="N477" s="12">
        <v>78000</v>
      </c>
      <c r="O477" s="12">
        <v>78000</v>
      </c>
      <c r="P477" s="12">
        <v>78000</v>
      </c>
      <c r="Q477" s="12">
        <v>78000</v>
      </c>
      <c r="R477" s="1">
        <v>2100000</v>
      </c>
      <c r="S477" s="1" t="s">
        <v>731</v>
      </c>
      <c r="V477" s="1" t="s">
        <v>732</v>
      </c>
      <c r="W477" s="1">
        <v>0</v>
      </c>
    </row>
    <row r="478" spans="1:24" hidden="1" outlineLevel="1">
      <c r="A478" s="1" t="s">
        <v>587</v>
      </c>
      <c r="B478" s="55">
        <v>904</v>
      </c>
      <c r="C478" s="55" t="s">
        <v>560</v>
      </c>
      <c r="E478" s="24"/>
      <c r="F478" s="56">
        <v>-134195.76250000001</v>
      </c>
      <c r="G478" s="56">
        <v>-134195.76250000001</v>
      </c>
      <c r="H478" s="56">
        <v>-134195.76250000001</v>
      </c>
      <c r="I478" s="56">
        <v>-134195.76250000001</v>
      </c>
      <c r="J478" s="56">
        <v>-134195.76250000001</v>
      </c>
      <c r="K478" s="56">
        <v>-134195.76250000001</v>
      </c>
      <c r="L478" s="56">
        <v>-134195.76250000001</v>
      </c>
      <c r="M478" s="56">
        <v>-134195.76250000001</v>
      </c>
      <c r="N478" s="56">
        <v>-134195.76250000001</v>
      </c>
      <c r="O478" s="56">
        <v>-134195.76250000001</v>
      </c>
      <c r="P478" s="56">
        <v>-134195.76250000001</v>
      </c>
      <c r="Q478" s="56">
        <v>-134195.76250000001</v>
      </c>
      <c r="R478" s="1">
        <v>2120000</v>
      </c>
      <c r="S478" s="1" t="s">
        <v>695</v>
      </c>
      <c r="V478" s="1" t="s">
        <v>694</v>
      </c>
      <c r="W478" s="1">
        <v>0</v>
      </c>
      <c r="X478" s="14"/>
    </row>
    <row r="479" spans="1:24" hidden="1" outlineLevel="1">
      <c r="A479" s="1" t="s">
        <v>590</v>
      </c>
      <c r="B479" s="28">
        <v>28000</v>
      </c>
      <c r="C479" s="28" t="s">
        <v>733</v>
      </c>
      <c r="E479" s="11"/>
      <c r="F479" s="12">
        <v>119412.13793103449</v>
      </c>
      <c r="G479" s="12">
        <v>119412.13793103449</v>
      </c>
      <c r="H479" s="12">
        <v>119412.13793103449</v>
      </c>
      <c r="I479" s="12">
        <v>119412.13793103449</v>
      </c>
      <c r="J479" s="12">
        <v>119412.13793103449</v>
      </c>
      <c r="K479" s="12">
        <v>119412.13793103449</v>
      </c>
      <c r="L479" s="12">
        <v>119412.13793103449</v>
      </c>
      <c r="M479" s="12">
        <v>119412.13793103449</v>
      </c>
      <c r="N479" s="12">
        <v>119412.13793103449</v>
      </c>
      <c r="O479" s="12">
        <v>119412.13793103449</v>
      </c>
      <c r="P479" s="12">
        <v>119412.13793103449</v>
      </c>
      <c r="Q479" s="12">
        <v>119412.13793103449</v>
      </c>
      <c r="R479" s="1">
        <v>2210000</v>
      </c>
      <c r="S479" s="1" t="s">
        <v>734</v>
      </c>
      <c r="V479" s="1" t="s">
        <v>670</v>
      </c>
      <c r="W479" s="1">
        <v>0</v>
      </c>
      <c r="X479" s="14"/>
    </row>
    <row r="480" spans="1:24" hidden="1" outlineLevel="1">
      <c r="A480" s="1" t="s">
        <v>590</v>
      </c>
      <c r="B480" s="28">
        <v>25500</v>
      </c>
      <c r="C480" s="28" t="s">
        <v>735</v>
      </c>
      <c r="E480" s="11"/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">
        <v>2120000</v>
      </c>
      <c r="S480" s="1" t="s">
        <v>695</v>
      </c>
      <c r="V480" s="1" t="s">
        <v>710</v>
      </c>
      <c r="W480" s="1">
        <v>0</v>
      </c>
      <c r="X480" s="14"/>
    </row>
    <row r="481" spans="1:24" hidden="1" outlineLevel="1">
      <c r="A481" s="1" t="s">
        <v>590</v>
      </c>
      <c r="B481" s="28">
        <v>95300</v>
      </c>
      <c r="C481" s="28" t="s">
        <v>178</v>
      </c>
      <c r="E481" s="11"/>
      <c r="F481" s="12">
        <v>-2861.3180076628355</v>
      </c>
      <c r="G481" s="12">
        <v>-2861.3180076628355</v>
      </c>
      <c r="H481" s="12">
        <v>-2861.3180076628355</v>
      </c>
      <c r="I481" s="12">
        <v>-2861.3180076628355</v>
      </c>
      <c r="J481" s="12">
        <v>-2861.3180076628355</v>
      </c>
      <c r="K481" s="12">
        <v>-2861.3180076628355</v>
      </c>
      <c r="L481" s="12">
        <v>-2861.3180076628355</v>
      </c>
      <c r="M481" s="12">
        <v>-2861.3180076628355</v>
      </c>
      <c r="N481" s="12">
        <v>-2861.3180076628355</v>
      </c>
      <c r="O481" s="12">
        <v>-2861.3180076628355</v>
      </c>
      <c r="P481" s="12">
        <v>-2861.3180076628355</v>
      </c>
      <c r="Q481" s="12">
        <v>-2861.3180076628355</v>
      </c>
      <c r="R481" s="1">
        <v>2010000</v>
      </c>
      <c r="S481" s="1" t="s">
        <v>688</v>
      </c>
      <c r="V481" s="1" t="s">
        <v>689</v>
      </c>
      <c r="X481" s="14"/>
    </row>
    <row r="482" spans="1:24" hidden="1" outlineLevel="1">
      <c r="A482" s="1" t="s">
        <v>590</v>
      </c>
      <c r="B482" s="28">
        <v>21105</v>
      </c>
      <c r="C482" s="28" t="s">
        <v>736</v>
      </c>
      <c r="E482" s="11"/>
      <c r="F482" s="12">
        <v>252176.24521072797</v>
      </c>
      <c r="G482" s="12">
        <v>252176.24521072797</v>
      </c>
      <c r="H482" s="12">
        <v>252176.24521072797</v>
      </c>
      <c r="I482" s="12">
        <v>252176.24521072797</v>
      </c>
      <c r="J482" s="12">
        <v>252176.24521072797</v>
      </c>
      <c r="K482" s="12">
        <v>252176.24521072797</v>
      </c>
      <c r="L482" s="12">
        <v>252176.24521072797</v>
      </c>
      <c r="M482" s="12">
        <v>252176.24521072797</v>
      </c>
      <c r="N482" s="12">
        <v>252176.24521072797</v>
      </c>
      <c r="O482" s="12">
        <v>252176.24521072797</v>
      </c>
      <c r="P482" s="12">
        <v>252176.24521072797</v>
      </c>
      <c r="Q482" s="12">
        <v>252176.24521072797</v>
      </c>
      <c r="R482" s="1">
        <v>2060000</v>
      </c>
      <c r="S482" s="1" t="s">
        <v>702</v>
      </c>
      <c r="V482" s="1" t="s">
        <v>701</v>
      </c>
      <c r="X482" s="14"/>
    </row>
    <row r="483" spans="1:24" hidden="1" outlineLevel="1">
      <c r="A483" s="1" t="s">
        <v>590</v>
      </c>
      <c r="B483" s="28">
        <v>21106</v>
      </c>
      <c r="C483" s="28" t="s">
        <v>737</v>
      </c>
      <c r="E483" s="11"/>
      <c r="F483" s="12">
        <v>83758.314176245214</v>
      </c>
      <c r="G483" s="12">
        <v>83758.314176245214</v>
      </c>
      <c r="H483" s="12">
        <v>83758.314176245214</v>
      </c>
      <c r="I483" s="12">
        <v>83758.314176245214</v>
      </c>
      <c r="J483" s="12">
        <v>83758.314176245214</v>
      </c>
      <c r="K483" s="12">
        <v>83758.314176245214</v>
      </c>
      <c r="L483" s="12">
        <v>83758.314176245214</v>
      </c>
      <c r="M483" s="12">
        <v>83758.314176245214</v>
      </c>
      <c r="N483" s="12">
        <v>83758.314176245214</v>
      </c>
      <c r="O483" s="12">
        <v>83758.314176245214</v>
      </c>
      <c r="P483" s="12">
        <v>83758.314176245214</v>
      </c>
      <c r="Q483" s="12">
        <v>83758.314176245214</v>
      </c>
      <c r="R483" s="1">
        <v>2070000</v>
      </c>
      <c r="S483" s="1" t="s">
        <v>705</v>
      </c>
      <c r="V483" s="1" t="s">
        <v>704</v>
      </c>
      <c r="X483" s="14"/>
    </row>
    <row r="484" spans="1:24" hidden="1" outlineLevel="1">
      <c r="A484" s="1" t="s">
        <v>590</v>
      </c>
      <c r="B484" s="28">
        <v>24000</v>
      </c>
      <c r="C484" s="28" t="s">
        <v>738</v>
      </c>
      <c r="E484" s="11"/>
      <c r="F484" s="12">
        <v>27989.624521072798</v>
      </c>
      <c r="G484" s="12">
        <v>27989.624521072798</v>
      </c>
      <c r="H484" s="12">
        <v>27989.624521072798</v>
      </c>
      <c r="I484" s="12">
        <v>27989.624521072798</v>
      </c>
      <c r="J484" s="12">
        <v>27989.624521072798</v>
      </c>
      <c r="K484" s="12">
        <v>27989.624521072798</v>
      </c>
      <c r="L484" s="12">
        <v>27989.624521072798</v>
      </c>
      <c r="M484" s="12">
        <v>27989.624521072798</v>
      </c>
      <c r="N484" s="12">
        <v>27989.624521072798</v>
      </c>
      <c r="O484" s="12">
        <v>27989.624521072798</v>
      </c>
      <c r="P484" s="12">
        <v>27989.624521072798</v>
      </c>
      <c r="Q484" s="12">
        <v>27989.624521072798</v>
      </c>
      <c r="R484" s="1">
        <v>2050000</v>
      </c>
      <c r="S484" s="1" t="s">
        <v>714</v>
      </c>
      <c r="V484" s="1" t="s">
        <v>715</v>
      </c>
      <c r="X484" s="14"/>
    </row>
    <row r="485" spans="1:24" hidden="1" outlineLevel="1">
      <c r="A485" s="1" t="s">
        <v>590</v>
      </c>
      <c r="B485" s="28">
        <v>24001</v>
      </c>
      <c r="C485" s="28" t="s">
        <v>739</v>
      </c>
      <c r="E485" s="11"/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">
        <v>2120000</v>
      </c>
      <c r="S485" s="1" t="s">
        <v>695</v>
      </c>
      <c r="V485" s="1" t="s">
        <v>694</v>
      </c>
      <c r="X485" s="14"/>
    </row>
    <row r="486" spans="1:24" hidden="1" outlineLevel="1">
      <c r="A486" s="1" t="s">
        <v>590</v>
      </c>
      <c r="B486" s="28">
        <v>24002</v>
      </c>
      <c r="C486" s="28" t="s">
        <v>740</v>
      </c>
      <c r="E486" s="11"/>
      <c r="F486" s="12">
        <v>0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">
        <v>2030000</v>
      </c>
      <c r="S486" s="1" t="s">
        <v>709</v>
      </c>
      <c r="V486" s="1" t="s">
        <v>709</v>
      </c>
      <c r="X486" s="14"/>
    </row>
    <row r="487" spans="1:24" hidden="1" outlineLevel="1">
      <c r="A487" s="1" t="s">
        <v>590</v>
      </c>
      <c r="B487" s="28">
        <v>24003</v>
      </c>
      <c r="C487" s="28" t="s">
        <v>741</v>
      </c>
      <c r="E487" s="11"/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">
        <v>2120000</v>
      </c>
      <c r="S487" s="1" t="s">
        <v>695</v>
      </c>
      <c r="V487" s="1" t="s">
        <v>694</v>
      </c>
      <c r="X487" s="14"/>
    </row>
    <row r="488" spans="1:24" hidden="1" outlineLevel="1">
      <c r="A488" s="1" t="s">
        <v>590</v>
      </c>
      <c r="B488" s="28">
        <v>24004</v>
      </c>
      <c r="C488" s="28" t="s">
        <v>742</v>
      </c>
      <c r="E488" s="11"/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">
        <v>2030000</v>
      </c>
      <c r="S488" s="1" t="s">
        <v>709</v>
      </c>
      <c r="V488" s="1" t="s">
        <v>709</v>
      </c>
      <c r="X488" s="14"/>
    </row>
    <row r="489" spans="1:24" hidden="1" outlineLevel="1">
      <c r="A489" s="1" t="s">
        <v>590</v>
      </c>
      <c r="B489" s="28">
        <v>24005</v>
      </c>
      <c r="C489" s="28" t="s">
        <v>743</v>
      </c>
      <c r="E489" s="11"/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">
        <v>2120000</v>
      </c>
      <c r="S489" s="1" t="s">
        <v>695</v>
      </c>
      <c r="V489" s="1" t="s">
        <v>694</v>
      </c>
      <c r="X489" s="14"/>
    </row>
    <row r="490" spans="1:24" hidden="1" outlineLevel="1">
      <c r="A490" s="1" t="s">
        <v>590</v>
      </c>
      <c r="B490" s="28">
        <v>24007</v>
      </c>
      <c r="C490" s="28" t="s">
        <v>744</v>
      </c>
      <c r="E490" s="11"/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">
        <v>2030000</v>
      </c>
      <c r="S490" s="1" t="s">
        <v>709</v>
      </c>
      <c r="V490" s="1" t="s">
        <v>709</v>
      </c>
      <c r="X490" s="14"/>
    </row>
    <row r="491" spans="1:24" hidden="1" outlineLevel="1">
      <c r="A491" s="1" t="s">
        <v>590</v>
      </c>
      <c r="B491" s="28">
        <v>24008</v>
      </c>
      <c r="C491" s="28" t="s">
        <v>745</v>
      </c>
      <c r="E491" s="11"/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">
        <v>2120000</v>
      </c>
      <c r="S491" s="1" t="s">
        <v>695</v>
      </c>
      <c r="V491" s="1" t="s">
        <v>694</v>
      </c>
      <c r="X491" s="14"/>
    </row>
    <row r="492" spans="1:24" hidden="1" outlineLevel="1">
      <c r="A492" s="1" t="s">
        <v>590</v>
      </c>
      <c r="B492" s="28">
        <v>24009</v>
      </c>
      <c r="C492" s="28" t="s">
        <v>746</v>
      </c>
      <c r="E492" s="11"/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">
        <v>2030000</v>
      </c>
      <c r="S492" s="1" t="s">
        <v>709</v>
      </c>
      <c r="V492" s="1" t="s">
        <v>709</v>
      </c>
      <c r="X492" s="14"/>
    </row>
    <row r="493" spans="1:24" hidden="1" outlineLevel="1">
      <c r="A493" s="1" t="s">
        <v>590</v>
      </c>
      <c r="B493" s="28">
        <v>24010</v>
      </c>
      <c r="C493" s="28" t="s">
        <v>747</v>
      </c>
      <c r="E493" s="11"/>
      <c r="F493" s="12">
        <v>0.36781609195402298</v>
      </c>
      <c r="G493" s="12">
        <v>0.36781609195402298</v>
      </c>
      <c r="H493" s="12">
        <v>0.36781609195402298</v>
      </c>
      <c r="I493" s="12">
        <v>0.36781609195402298</v>
      </c>
      <c r="J493" s="12">
        <v>0.36781609195402298</v>
      </c>
      <c r="K493" s="12">
        <v>0.36781609195402298</v>
      </c>
      <c r="L493" s="12">
        <v>0.36781609195402298</v>
      </c>
      <c r="M493" s="12">
        <v>0.36781609195402298</v>
      </c>
      <c r="N493" s="12">
        <v>0.36781609195402298</v>
      </c>
      <c r="O493" s="12">
        <v>0.36781609195402298</v>
      </c>
      <c r="P493" s="12">
        <v>0.36781609195402298</v>
      </c>
      <c r="Q493" s="12">
        <v>0.36781609195402298</v>
      </c>
      <c r="R493" s="1">
        <v>2030000</v>
      </c>
      <c r="S493" s="1" t="s">
        <v>709</v>
      </c>
      <c r="V493" s="1" t="s">
        <v>709</v>
      </c>
      <c r="X493" s="14"/>
    </row>
    <row r="494" spans="1:24" hidden="1" outlineLevel="1">
      <c r="A494" s="1" t="s">
        <v>590</v>
      </c>
      <c r="B494" s="28">
        <v>24011</v>
      </c>
      <c r="C494" s="28" t="s">
        <v>748</v>
      </c>
      <c r="E494" s="11"/>
      <c r="F494" s="12">
        <v>-515.14176245210729</v>
      </c>
      <c r="G494" s="12">
        <v>-515.14176245210729</v>
      </c>
      <c r="H494" s="12">
        <v>-515.14176245210729</v>
      </c>
      <c r="I494" s="12">
        <v>-515.14176245210729</v>
      </c>
      <c r="J494" s="12">
        <v>-515.14176245210729</v>
      </c>
      <c r="K494" s="12">
        <v>-515.14176245210729</v>
      </c>
      <c r="L494" s="12">
        <v>-515.14176245210729</v>
      </c>
      <c r="M494" s="12">
        <v>-515.14176245210729</v>
      </c>
      <c r="N494" s="12">
        <v>-515.14176245210729</v>
      </c>
      <c r="O494" s="12">
        <v>-515.14176245210729</v>
      </c>
      <c r="P494" s="12">
        <v>-515.14176245210729</v>
      </c>
      <c r="Q494" s="12">
        <v>-515.14176245210729</v>
      </c>
      <c r="R494" s="1">
        <v>2030000</v>
      </c>
      <c r="S494" s="1" t="s">
        <v>709</v>
      </c>
      <c r="V494" s="1" t="s">
        <v>709</v>
      </c>
      <c r="X494" s="14"/>
    </row>
    <row r="495" spans="1:24" hidden="1" outlineLevel="1">
      <c r="A495" s="1" t="s">
        <v>590</v>
      </c>
      <c r="B495" s="28">
        <v>24050</v>
      </c>
      <c r="C495" s="28" t="s">
        <v>749</v>
      </c>
      <c r="E495" s="11"/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">
        <v>2030000</v>
      </c>
      <c r="S495" s="1" t="s">
        <v>709</v>
      </c>
      <c r="V495" s="1" t="s">
        <v>709</v>
      </c>
      <c r="X495" s="14"/>
    </row>
    <row r="496" spans="1:24" hidden="1" outlineLevel="1">
      <c r="A496" s="1" t="s">
        <v>590</v>
      </c>
      <c r="B496" s="28">
        <v>24100</v>
      </c>
      <c r="C496" s="28" t="s">
        <v>750</v>
      </c>
      <c r="E496" s="11"/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">
        <v>2030000</v>
      </c>
      <c r="S496" s="1" t="s">
        <v>709</v>
      </c>
      <c r="V496" s="1" t="s">
        <v>709</v>
      </c>
      <c r="X496" s="14"/>
    </row>
    <row r="497" spans="1:24" hidden="1" outlineLevel="1">
      <c r="A497" s="1" t="s">
        <v>590</v>
      </c>
      <c r="B497" s="28">
        <v>24200</v>
      </c>
      <c r="C497" s="28" t="s">
        <v>751</v>
      </c>
      <c r="E497" s="11"/>
      <c r="F497" s="12">
        <v>10.727969348659004</v>
      </c>
      <c r="G497" s="12">
        <v>10.727969348659004</v>
      </c>
      <c r="H497" s="12">
        <v>10.727969348659004</v>
      </c>
      <c r="I497" s="12">
        <v>10.727969348659004</v>
      </c>
      <c r="J497" s="12">
        <v>10.727969348659004</v>
      </c>
      <c r="K497" s="12">
        <v>10.727969348659004</v>
      </c>
      <c r="L497" s="12">
        <v>10.727969348659004</v>
      </c>
      <c r="M497" s="12">
        <v>10.727969348659004</v>
      </c>
      <c r="N497" s="12">
        <v>10.727969348659004</v>
      </c>
      <c r="O497" s="12">
        <v>10.727969348659004</v>
      </c>
      <c r="P497" s="12">
        <v>10.727969348659004</v>
      </c>
      <c r="Q497" s="12">
        <v>10.727969348659004</v>
      </c>
      <c r="R497" s="1">
        <v>2030000</v>
      </c>
      <c r="S497" s="1" t="s">
        <v>709</v>
      </c>
      <c r="V497" s="1" t="s">
        <v>709</v>
      </c>
      <c r="X497" s="14"/>
    </row>
    <row r="498" spans="1:24" hidden="1" outlineLevel="1">
      <c r="A498" s="1" t="s">
        <v>590</v>
      </c>
      <c r="B498" s="28">
        <v>24300</v>
      </c>
      <c r="C498" s="28" t="s">
        <v>752</v>
      </c>
      <c r="E498" s="11"/>
      <c r="F498" s="12">
        <v>3246.651340996169</v>
      </c>
      <c r="G498" s="12">
        <v>3246.651340996169</v>
      </c>
      <c r="H498" s="12">
        <v>3246.651340996169</v>
      </c>
      <c r="I498" s="12">
        <v>3246.651340996169</v>
      </c>
      <c r="J498" s="12">
        <v>3246.651340996169</v>
      </c>
      <c r="K498" s="12">
        <v>3246.651340996169</v>
      </c>
      <c r="L498" s="12">
        <v>3246.651340996169</v>
      </c>
      <c r="M498" s="12">
        <v>3246.651340996169</v>
      </c>
      <c r="N498" s="12">
        <v>3246.651340996169</v>
      </c>
      <c r="O498" s="12">
        <v>3246.651340996169</v>
      </c>
      <c r="P498" s="12">
        <v>3246.651340996169</v>
      </c>
      <c r="Q498" s="12">
        <v>3246.651340996169</v>
      </c>
      <c r="R498" s="1">
        <v>2030000</v>
      </c>
      <c r="S498" s="1" t="s">
        <v>709</v>
      </c>
      <c r="V498" s="1" t="s">
        <v>709</v>
      </c>
      <c r="X498" s="14"/>
    </row>
    <row r="499" spans="1:24" hidden="1" outlineLevel="1">
      <c r="A499" s="1" t="s">
        <v>590</v>
      </c>
      <c r="B499" s="28">
        <v>24499</v>
      </c>
      <c r="C499" s="28" t="s">
        <v>753</v>
      </c>
      <c r="E499" s="11"/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">
        <v>2030000</v>
      </c>
      <c r="S499" s="1" t="s">
        <v>709</v>
      </c>
      <c r="V499" s="1" t="s">
        <v>709</v>
      </c>
      <c r="X499" s="14"/>
    </row>
    <row r="500" spans="1:24" hidden="1" outlineLevel="1">
      <c r="A500" s="1" t="s">
        <v>590</v>
      </c>
      <c r="B500" s="28">
        <v>24500</v>
      </c>
      <c r="C500" s="28" t="s">
        <v>754</v>
      </c>
      <c r="E500" s="11"/>
      <c r="F500" s="12">
        <v>10334.528735632184</v>
      </c>
      <c r="G500" s="12">
        <v>10334.528735632184</v>
      </c>
      <c r="H500" s="12">
        <v>10334.528735632184</v>
      </c>
      <c r="I500" s="12">
        <v>10334.528735632184</v>
      </c>
      <c r="J500" s="12">
        <v>10334.528735632184</v>
      </c>
      <c r="K500" s="12">
        <v>10334.528735632184</v>
      </c>
      <c r="L500" s="12">
        <v>10334.528735632184</v>
      </c>
      <c r="M500" s="12">
        <v>10334.528735632184</v>
      </c>
      <c r="N500" s="12">
        <v>10334.528735632184</v>
      </c>
      <c r="O500" s="12">
        <v>10334.528735632184</v>
      </c>
      <c r="P500" s="12">
        <v>10334.528735632184</v>
      </c>
      <c r="Q500" s="12">
        <v>10334.528735632184</v>
      </c>
      <c r="R500" s="1">
        <v>2050000</v>
      </c>
      <c r="S500" s="1" t="s">
        <v>714</v>
      </c>
      <c r="V500" s="1" t="s">
        <v>715</v>
      </c>
      <c r="X500" s="14"/>
    </row>
    <row r="501" spans="1:24" hidden="1" outlineLevel="1">
      <c r="A501" s="1" t="s">
        <v>590</v>
      </c>
      <c r="B501" s="28">
        <v>24550</v>
      </c>
      <c r="C501" s="28" t="s">
        <v>755</v>
      </c>
      <c r="E501" s="11"/>
      <c r="F501" s="12">
        <v>92.643678160919549</v>
      </c>
      <c r="G501" s="12">
        <v>92.643678160919549</v>
      </c>
      <c r="H501" s="12">
        <v>92.643678160919549</v>
      </c>
      <c r="I501" s="12">
        <v>92.643678160919549</v>
      </c>
      <c r="J501" s="12">
        <v>92.643678160919549</v>
      </c>
      <c r="K501" s="12">
        <v>92.643678160919549</v>
      </c>
      <c r="L501" s="12">
        <v>92.643678160919549</v>
      </c>
      <c r="M501" s="12">
        <v>92.643678160919549</v>
      </c>
      <c r="N501" s="12">
        <v>92.643678160919549</v>
      </c>
      <c r="O501" s="12">
        <v>92.643678160919549</v>
      </c>
      <c r="P501" s="12">
        <v>92.643678160919549</v>
      </c>
      <c r="Q501" s="12">
        <v>92.643678160919549</v>
      </c>
      <c r="R501" s="1">
        <v>2050000</v>
      </c>
      <c r="S501" s="1" t="s">
        <v>714</v>
      </c>
      <c r="V501" s="1" t="s">
        <v>715</v>
      </c>
      <c r="X501" s="14"/>
    </row>
    <row r="502" spans="1:24" hidden="1" outlineLevel="1">
      <c r="A502" s="1" t="s">
        <v>590</v>
      </c>
      <c r="B502" s="28">
        <v>25501</v>
      </c>
      <c r="C502" s="28" t="s">
        <v>756</v>
      </c>
      <c r="E502" s="11"/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">
        <v>2120000</v>
      </c>
      <c r="S502" s="1" t="s">
        <v>695</v>
      </c>
      <c r="V502" s="1" t="s">
        <v>710</v>
      </c>
      <c r="W502" s="1">
        <v>0</v>
      </c>
      <c r="X502" s="14"/>
    </row>
    <row r="503" spans="1:24" hidden="1" outlineLevel="1">
      <c r="A503" s="1" t="s">
        <v>590</v>
      </c>
      <c r="B503" s="28">
        <v>25503</v>
      </c>
      <c r="C503" s="28" t="s">
        <v>757</v>
      </c>
      <c r="E503" s="11"/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">
        <v>2120000</v>
      </c>
      <c r="S503" s="1" t="s">
        <v>695</v>
      </c>
      <c r="V503" s="1" t="s">
        <v>710</v>
      </c>
      <c r="W503" s="1">
        <v>0</v>
      </c>
      <c r="X503" s="14"/>
    </row>
    <row r="504" spans="1:24" hidden="1" outlineLevel="1">
      <c r="A504" s="1" t="s">
        <v>590</v>
      </c>
      <c r="B504" s="28">
        <v>25504</v>
      </c>
      <c r="C504" s="28" t="s">
        <v>758</v>
      </c>
      <c r="E504" s="11"/>
      <c r="F504" s="12">
        <v>11875.494252873565</v>
      </c>
      <c r="G504" s="12">
        <v>11875.494252873565</v>
      </c>
      <c r="H504" s="12">
        <v>11875.494252873565</v>
      </c>
      <c r="I504" s="12">
        <v>11875.494252873565</v>
      </c>
      <c r="J504" s="12">
        <v>11875.494252873565</v>
      </c>
      <c r="K504" s="12">
        <v>11875.494252873565</v>
      </c>
      <c r="L504" s="12">
        <v>11875.494252873565</v>
      </c>
      <c r="M504" s="12">
        <v>11875.494252873565</v>
      </c>
      <c r="N504" s="12">
        <v>11875.494252873565</v>
      </c>
      <c r="O504" s="12">
        <v>11875.494252873565</v>
      </c>
      <c r="P504" s="12">
        <v>11875.494252873565</v>
      </c>
      <c r="Q504" s="12">
        <v>11875.494252873565</v>
      </c>
      <c r="R504" s="1">
        <v>2120000</v>
      </c>
      <c r="S504" s="1" t="s">
        <v>695</v>
      </c>
      <c r="V504" s="1" t="s">
        <v>710</v>
      </c>
      <c r="W504" s="1">
        <v>0</v>
      </c>
      <c r="X504" s="14"/>
    </row>
    <row r="505" spans="1:24" hidden="1" outlineLevel="1">
      <c r="A505" s="1" t="s">
        <v>590</v>
      </c>
      <c r="B505" s="28">
        <v>25505</v>
      </c>
      <c r="C505" s="28" t="s">
        <v>759</v>
      </c>
      <c r="E505" s="11"/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">
        <v>2120000</v>
      </c>
      <c r="S505" s="1" t="s">
        <v>695</v>
      </c>
      <c r="V505" s="1" t="s">
        <v>710</v>
      </c>
      <c r="W505" s="1">
        <v>0</v>
      </c>
      <c r="X505" s="14"/>
    </row>
    <row r="506" spans="1:24" hidden="1" outlineLevel="1">
      <c r="A506" s="1" t="s">
        <v>590</v>
      </c>
      <c r="B506" s="28">
        <v>25506</v>
      </c>
      <c r="C506" s="28" t="s">
        <v>760</v>
      </c>
      <c r="E506" s="11"/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">
        <v>2120000</v>
      </c>
      <c r="S506" s="1" t="s">
        <v>695</v>
      </c>
      <c r="V506" s="1" t="s">
        <v>710</v>
      </c>
      <c r="W506" s="1">
        <v>0</v>
      </c>
      <c r="X506" s="14"/>
    </row>
    <row r="507" spans="1:24" hidden="1" outlineLevel="1">
      <c r="A507" s="1" t="s">
        <v>590</v>
      </c>
      <c r="B507" s="28">
        <v>25507</v>
      </c>
      <c r="C507" s="28" t="s">
        <v>761</v>
      </c>
      <c r="E507" s="11"/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">
        <v>2120000</v>
      </c>
      <c r="S507" s="1" t="s">
        <v>695</v>
      </c>
      <c r="V507" s="1" t="s">
        <v>710</v>
      </c>
      <c r="W507" s="1">
        <v>0</v>
      </c>
      <c r="X507" s="14"/>
    </row>
    <row r="508" spans="1:24" hidden="1" outlineLevel="1">
      <c r="A508" s="1" t="s">
        <v>590</v>
      </c>
      <c r="B508" s="28">
        <v>25508</v>
      </c>
      <c r="C508" s="28" t="s">
        <v>762</v>
      </c>
      <c r="E508" s="11"/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">
        <v>2120000</v>
      </c>
      <c r="S508" s="1" t="s">
        <v>695</v>
      </c>
      <c r="V508" s="1" t="s">
        <v>710</v>
      </c>
      <c r="W508" s="1">
        <v>0</v>
      </c>
      <c r="X508" s="14"/>
    </row>
    <row r="509" spans="1:24" hidden="1" outlineLevel="1">
      <c r="A509" s="1" t="s">
        <v>590</v>
      </c>
      <c r="B509" s="28">
        <v>25509</v>
      </c>
      <c r="C509" s="28" t="s">
        <v>763</v>
      </c>
      <c r="E509" s="11"/>
      <c r="F509" s="12">
        <v>2337.6091954022991</v>
      </c>
      <c r="G509" s="12">
        <v>2337.6091954022991</v>
      </c>
      <c r="H509" s="12">
        <v>2337.6091954022991</v>
      </c>
      <c r="I509" s="12">
        <v>2337.6091954022991</v>
      </c>
      <c r="J509" s="12">
        <v>2337.6091954022991</v>
      </c>
      <c r="K509" s="12">
        <v>2337.6091954022991</v>
      </c>
      <c r="L509" s="12">
        <v>2337.6091954022991</v>
      </c>
      <c r="M509" s="12">
        <v>2337.6091954022991</v>
      </c>
      <c r="N509" s="12">
        <v>2337.6091954022991</v>
      </c>
      <c r="O509" s="12">
        <v>2337.6091954022991</v>
      </c>
      <c r="P509" s="12">
        <v>2337.6091954022991</v>
      </c>
      <c r="Q509" s="12">
        <v>2337.6091954022991</v>
      </c>
      <c r="R509" s="1">
        <v>2120000</v>
      </c>
      <c r="S509" s="1" t="s">
        <v>695</v>
      </c>
      <c r="V509" s="1" t="s">
        <v>710</v>
      </c>
      <c r="W509" s="1">
        <v>0</v>
      </c>
      <c r="X509" s="14"/>
    </row>
    <row r="510" spans="1:24" hidden="1" outlineLevel="1">
      <c r="A510" s="1" t="s">
        <v>590</v>
      </c>
      <c r="B510" s="28">
        <v>25520</v>
      </c>
      <c r="C510" s="28" t="s">
        <v>764</v>
      </c>
      <c r="E510" s="11"/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">
        <v>2120000</v>
      </c>
      <c r="S510" s="1" t="s">
        <v>695</v>
      </c>
      <c r="V510" s="1" t="s">
        <v>710</v>
      </c>
      <c r="W510" s="1">
        <v>0</v>
      </c>
      <c r="X510" s="14"/>
    </row>
    <row r="511" spans="1:24" hidden="1" outlineLevel="1">
      <c r="A511" s="1" t="s">
        <v>590</v>
      </c>
      <c r="B511" s="28">
        <v>25530</v>
      </c>
      <c r="C511" s="28" t="s">
        <v>765</v>
      </c>
      <c r="E511" s="11"/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">
        <v>2120000</v>
      </c>
      <c r="S511" s="1" t="s">
        <v>695</v>
      </c>
      <c r="V511" s="1" t="s">
        <v>710</v>
      </c>
      <c r="W511" s="1">
        <v>0</v>
      </c>
      <c r="X511" s="14"/>
    </row>
    <row r="512" spans="1:24" hidden="1" outlineLevel="1">
      <c r="A512" s="1" t="s">
        <v>590</v>
      </c>
      <c r="B512" s="28">
        <v>25540</v>
      </c>
      <c r="C512" s="28" t="s">
        <v>766</v>
      </c>
      <c r="E512" s="11"/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">
        <v>2120000</v>
      </c>
      <c r="S512" s="1" t="s">
        <v>695</v>
      </c>
      <c r="V512" s="1" t="s">
        <v>710</v>
      </c>
      <c r="W512" s="1">
        <v>0</v>
      </c>
      <c r="X512" s="14"/>
    </row>
    <row r="513" spans="1:24" hidden="1" outlineLevel="1">
      <c r="A513" s="1" t="s">
        <v>590</v>
      </c>
      <c r="B513" s="28">
        <v>25511</v>
      </c>
      <c r="C513" s="28" t="s">
        <v>767</v>
      </c>
      <c r="E513" s="11"/>
      <c r="F513" s="12">
        <v>0</v>
      </c>
      <c r="G513" s="12">
        <v>0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">
        <v>2120000</v>
      </c>
      <c r="S513" s="1" t="s">
        <v>695</v>
      </c>
      <c r="V513" s="1" t="s">
        <v>709</v>
      </c>
      <c r="W513" s="1">
        <v>0</v>
      </c>
      <c r="X513" s="14"/>
    </row>
    <row r="514" spans="1:24" hidden="1" outlineLevel="1">
      <c r="A514" s="1" t="s">
        <v>590</v>
      </c>
      <c r="B514" s="28">
        <v>25512</v>
      </c>
      <c r="C514" s="28" t="s">
        <v>768</v>
      </c>
      <c r="E514" s="11"/>
      <c r="F514" s="12">
        <v>432.73563218390808</v>
      </c>
      <c r="G514" s="12">
        <v>432.73563218390808</v>
      </c>
      <c r="H514" s="12">
        <v>432.73563218390808</v>
      </c>
      <c r="I514" s="12">
        <v>432.73563218390808</v>
      </c>
      <c r="J514" s="12">
        <v>432.73563218390808</v>
      </c>
      <c r="K514" s="12">
        <v>432.73563218390808</v>
      </c>
      <c r="L514" s="12">
        <v>432.73563218390808</v>
      </c>
      <c r="M514" s="12">
        <v>432.73563218390808</v>
      </c>
      <c r="N514" s="12">
        <v>432.73563218390808</v>
      </c>
      <c r="O514" s="12">
        <v>432.73563218390808</v>
      </c>
      <c r="P514" s="12">
        <v>432.73563218390808</v>
      </c>
      <c r="Q514" s="12">
        <v>432.73563218390808</v>
      </c>
      <c r="R514" s="1">
        <v>2030000</v>
      </c>
      <c r="S514" s="1" t="s">
        <v>709</v>
      </c>
      <c r="V514" s="1" t="s">
        <v>709</v>
      </c>
      <c r="W514" s="1">
        <v>0</v>
      </c>
      <c r="X514" s="14"/>
    </row>
    <row r="515" spans="1:24" hidden="1" outlineLevel="1">
      <c r="A515" s="1" t="s">
        <v>590</v>
      </c>
      <c r="B515" s="28">
        <v>25513</v>
      </c>
      <c r="C515" s="28" t="s">
        <v>769</v>
      </c>
      <c r="E515" s="11"/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">
        <v>2030000</v>
      </c>
      <c r="S515" s="1" t="s">
        <v>709</v>
      </c>
      <c r="V515" s="1" t="s">
        <v>709</v>
      </c>
      <c r="W515" s="1">
        <v>0</v>
      </c>
      <c r="X515" s="14"/>
    </row>
    <row r="516" spans="1:24" hidden="1" outlineLevel="1">
      <c r="A516" s="1" t="s">
        <v>590</v>
      </c>
      <c r="B516" s="28">
        <v>25700</v>
      </c>
      <c r="C516" s="28" t="s">
        <v>770</v>
      </c>
      <c r="E516" s="11"/>
      <c r="F516" s="12">
        <v>5747.1264367816093</v>
      </c>
      <c r="G516" s="12">
        <v>5747.1264367816093</v>
      </c>
      <c r="H516" s="12">
        <v>5747.1264367816093</v>
      </c>
      <c r="I516" s="12">
        <v>5747.1264367816093</v>
      </c>
      <c r="J516" s="12">
        <v>5747.1264367816093</v>
      </c>
      <c r="K516" s="12">
        <v>5747.1264367816093</v>
      </c>
      <c r="L516" s="12">
        <v>5747.1264367816093</v>
      </c>
      <c r="M516" s="12">
        <v>5747.1264367816093</v>
      </c>
      <c r="N516" s="12">
        <v>5747.1264367816093</v>
      </c>
      <c r="O516" s="12">
        <v>5747.1264367816093</v>
      </c>
      <c r="P516" s="12">
        <v>5747.1264367816093</v>
      </c>
      <c r="Q516" s="12">
        <v>5747.1264367816093</v>
      </c>
      <c r="R516" s="1">
        <v>2040000</v>
      </c>
      <c r="S516" s="1" t="s">
        <v>691</v>
      </c>
      <c r="V516" s="1" t="s">
        <v>691</v>
      </c>
      <c r="W516" s="1">
        <v>0</v>
      </c>
      <c r="X516" s="14"/>
    </row>
    <row r="517" spans="1:24" hidden="1" outlineLevel="1">
      <c r="B517" s="62" t="s">
        <v>771</v>
      </c>
      <c r="C517" s="63"/>
      <c r="E517" s="64"/>
      <c r="F517" s="64">
        <f>SUM(F453:F516)</f>
        <v>4596100.322721675</v>
      </c>
      <c r="G517" s="64">
        <f t="shared" ref="G517:Q517" si="22">SUM(G453:G516)</f>
        <v>6078449.5524347126</v>
      </c>
      <c r="H517" s="64">
        <f t="shared" si="22"/>
        <v>6081976.4238512404</v>
      </c>
      <c r="I517" s="64">
        <f t="shared" si="22"/>
        <v>6085451.0120704547</v>
      </c>
      <c r="J517" s="64">
        <f t="shared" si="22"/>
        <v>6088873.0979386233</v>
      </c>
      <c r="K517" s="64">
        <f t="shared" si="22"/>
        <v>6092242.4613833874</v>
      </c>
      <c r="L517" s="64">
        <f t="shared" si="22"/>
        <v>6095558.8814099263</v>
      </c>
      <c r="M517" s="64">
        <f t="shared" si="22"/>
        <v>6098822.1360970736</v>
      </c>
      <c r="N517" s="64">
        <f t="shared" si="22"/>
        <v>6102032.002593454</v>
      </c>
      <c r="O517" s="64">
        <f t="shared" si="22"/>
        <v>6105188.2571135629</v>
      </c>
      <c r="P517" s="64">
        <f t="shared" si="22"/>
        <v>6108290.6749338694</v>
      </c>
      <c r="Q517" s="64">
        <f t="shared" si="22"/>
        <v>6111339.0303888731</v>
      </c>
      <c r="R517" s="1" t="e">
        <v>#N/A</v>
      </c>
      <c r="S517" s="1" t="e">
        <v>#N/A</v>
      </c>
      <c r="V517" s="1" t="e">
        <v>#N/A</v>
      </c>
      <c r="X517" s="14"/>
    </row>
    <row r="518" spans="1:24" hidden="1" outlineLevel="2">
      <c r="A518" s="1" t="s">
        <v>11</v>
      </c>
      <c r="B518" s="36">
        <v>3010</v>
      </c>
      <c r="C518" s="36" t="s">
        <v>772</v>
      </c>
      <c r="E518" s="11">
        <f t="shared" ref="E518" si="23">SUM(F518:Q518)</f>
        <v>0</v>
      </c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">
        <v>3010000</v>
      </c>
      <c r="S518" s="1" t="s">
        <v>774</v>
      </c>
      <c r="V518" s="1" t="s">
        <v>775</v>
      </c>
      <c r="W518" s="1">
        <v>0</v>
      </c>
    </row>
    <row r="519" spans="1:24" hidden="1" outlineLevel="2">
      <c r="B519" s="36">
        <v>3020</v>
      </c>
      <c r="C519" s="36" t="s">
        <v>776</v>
      </c>
      <c r="E519" s="11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spans="1:24" hidden="1" outlineLevel="2">
      <c r="B520" s="36">
        <v>3030</v>
      </c>
      <c r="C520" s="36" t="s">
        <v>777</v>
      </c>
      <c r="E520" s="11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spans="1:24" ht="14.4" hidden="1" customHeight="1" outlineLevel="2">
      <c r="B521" s="55">
        <v>60103</v>
      </c>
      <c r="C521" s="55" t="s">
        <v>778</v>
      </c>
      <c r="E521" s="24">
        <f t="shared" ref="E521:E527" si="24">SUM(F521:Q521)</f>
        <v>0</v>
      </c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1">
        <v>3070000</v>
      </c>
      <c r="S521" s="1" t="s">
        <v>779</v>
      </c>
      <c r="V521" s="1" t="s">
        <v>775</v>
      </c>
      <c r="W521" s="1">
        <v>0</v>
      </c>
      <c r="X521" s="14"/>
    </row>
    <row r="522" spans="1:24" hidden="1" outlineLevel="2">
      <c r="B522" s="55" t="s">
        <v>780</v>
      </c>
      <c r="C522" s="55" t="s">
        <v>781</v>
      </c>
      <c r="E522" s="24">
        <f t="shared" si="24"/>
        <v>0</v>
      </c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1">
        <v>3070000</v>
      </c>
      <c r="S522" s="1" t="s">
        <v>779</v>
      </c>
      <c r="V522" s="1" t="s">
        <v>775</v>
      </c>
      <c r="W522" s="1">
        <v>0</v>
      </c>
      <c r="X522" s="14"/>
    </row>
    <row r="523" spans="1:24" hidden="1" outlineLevel="2">
      <c r="B523" s="55" t="s">
        <v>782</v>
      </c>
      <c r="C523" s="55" t="s">
        <v>783</v>
      </c>
      <c r="E523" s="24">
        <f t="shared" si="24"/>
        <v>0</v>
      </c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1">
        <v>3070000</v>
      </c>
      <c r="S523" s="1" t="s">
        <v>779</v>
      </c>
      <c r="V523" s="1" t="s">
        <v>775</v>
      </c>
      <c r="W523" s="1">
        <v>0</v>
      </c>
      <c r="X523" s="14"/>
    </row>
    <row r="524" spans="1:24" hidden="1" outlineLevel="2">
      <c r="B524" s="55" t="s">
        <v>784</v>
      </c>
      <c r="C524" s="55" t="s">
        <v>785</v>
      </c>
      <c r="E524" s="24">
        <f t="shared" si="24"/>
        <v>0</v>
      </c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1">
        <v>3070000</v>
      </c>
      <c r="S524" s="1" t="s">
        <v>779</v>
      </c>
      <c r="V524" s="1" t="s">
        <v>775</v>
      </c>
      <c r="W524" s="1">
        <v>0</v>
      </c>
      <c r="X524" s="14"/>
    </row>
    <row r="525" spans="1:24" hidden="1" outlineLevel="2">
      <c r="B525" s="55" t="s">
        <v>786</v>
      </c>
      <c r="C525" s="55" t="s">
        <v>787</v>
      </c>
      <c r="E525" s="24">
        <f t="shared" si="24"/>
        <v>0</v>
      </c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1">
        <v>3070000</v>
      </c>
      <c r="S525" s="1" t="s">
        <v>779</v>
      </c>
      <c r="V525" s="1" t="s">
        <v>775</v>
      </c>
      <c r="W525" s="1">
        <v>0</v>
      </c>
      <c r="X525" s="14"/>
    </row>
    <row r="526" spans="1:24" hidden="1" outlineLevel="2">
      <c r="B526" s="55">
        <v>639</v>
      </c>
      <c r="C526" s="55" t="s">
        <v>788</v>
      </c>
      <c r="E526" s="24">
        <f t="shared" si="24"/>
        <v>0</v>
      </c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1">
        <v>3080000</v>
      </c>
      <c r="S526" s="1" t="s">
        <v>789</v>
      </c>
      <c r="V526" s="1" t="s">
        <v>779</v>
      </c>
      <c r="W526" s="1">
        <v>0</v>
      </c>
      <c r="X526" s="14"/>
    </row>
    <row r="527" spans="1:24" hidden="1" outlineLevel="2">
      <c r="B527" s="55">
        <v>638</v>
      </c>
      <c r="C527" s="55" t="s">
        <v>790</v>
      </c>
      <c r="E527" s="24">
        <f t="shared" si="24"/>
        <v>0</v>
      </c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1">
        <v>3070000</v>
      </c>
      <c r="S527" s="1" t="s">
        <v>779</v>
      </c>
      <c r="V527" s="1" t="s">
        <v>779</v>
      </c>
      <c r="W527" s="1">
        <v>0</v>
      </c>
      <c r="X527" s="14"/>
    </row>
    <row r="528" spans="1:24" hidden="1" outlineLevel="2">
      <c r="B528" s="28">
        <v>30000</v>
      </c>
      <c r="C528" s="28" t="s">
        <v>791</v>
      </c>
      <c r="E528" s="11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">
        <v>3070000</v>
      </c>
      <c r="S528" s="1" t="s">
        <v>779</v>
      </c>
      <c r="V528" s="1" t="s">
        <v>779</v>
      </c>
      <c r="W528" s="1">
        <v>0</v>
      </c>
      <c r="X528" s="14"/>
    </row>
    <row r="529" spans="1:24" hidden="1" outlineLevel="1" collapsed="1">
      <c r="B529" s="28">
        <v>39000</v>
      </c>
      <c r="C529" s="28" t="s">
        <v>773</v>
      </c>
      <c r="E529" s="11"/>
      <c r="F529" s="12">
        <v>1641.59</v>
      </c>
      <c r="G529" s="12">
        <v>1641.59</v>
      </c>
      <c r="H529" s="12">
        <v>1641.59</v>
      </c>
      <c r="I529" s="12">
        <v>1641.59</v>
      </c>
      <c r="J529" s="12">
        <v>1641.59</v>
      </c>
      <c r="K529" s="12">
        <v>1641.59</v>
      </c>
      <c r="L529" s="12">
        <v>1641.59</v>
      </c>
      <c r="M529" s="12">
        <v>1641.59</v>
      </c>
      <c r="N529" s="12">
        <v>1641.59</v>
      </c>
      <c r="O529" s="12">
        <v>1641.59</v>
      </c>
      <c r="P529" s="12">
        <v>1641.59</v>
      </c>
      <c r="Q529" s="12">
        <v>1641.59</v>
      </c>
      <c r="R529" s="1">
        <v>3050000</v>
      </c>
      <c r="S529" s="1" t="s">
        <v>792</v>
      </c>
      <c r="V529" s="1" t="s">
        <v>775</v>
      </c>
      <c r="W529" s="1">
        <v>0</v>
      </c>
      <c r="X529" s="14"/>
    </row>
    <row r="530" spans="1:24" hidden="1" outlineLevel="1">
      <c r="B530" s="28">
        <v>39200</v>
      </c>
      <c r="C530" s="28" t="s">
        <v>788</v>
      </c>
      <c r="E530" s="11"/>
      <c r="F530" s="12"/>
      <c r="G530" s="12">
        <v>96023.815608980367</v>
      </c>
      <c r="H530" s="12">
        <v>200464.69484307128</v>
      </c>
      <c r="I530" s="12">
        <v>271990.97236885747</v>
      </c>
      <c r="J530" s="12">
        <v>351369.53309195593</v>
      </c>
      <c r="K530" s="12">
        <v>416633.92949943559</v>
      </c>
      <c r="L530" s="12">
        <v>475234.38166365121</v>
      </c>
      <c r="M530" s="12">
        <v>578074.44391276082</v>
      </c>
      <c r="N530" s="12">
        <v>677279.78377778048</v>
      </c>
      <c r="O530" s="12">
        <v>733805.17850023648</v>
      </c>
      <c r="P530" s="12">
        <v>833817.51853229536</v>
      </c>
      <c r="Q530" s="12">
        <v>916184.55240701453</v>
      </c>
      <c r="R530" s="1">
        <v>3070000</v>
      </c>
      <c r="S530" s="1" t="s">
        <v>779</v>
      </c>
      <c r="V530" s="1" t="s">
        <v>779</v>
      </c>
      <c r="W530" s="1">
        <v>0</v>
      </c>
      <c r="X530" s="14"/>
    </row>
    <row r="531" spans="1:24" hidden="1" outlineLevel="1">
      <c r="B531" s="28" t="s">
        <v>793</v>
      </c>
      <c r="C531" s="28" t="s">
        <v>794</v>
      </c>
      <c r="E531" s="11"/>
      <c r="F531" s="12">
        <v>468749.69427083724</v>
      </c>
      <c r="G531" s="12">
        <v>468749.69427083724</v>
      </c>
      <c r="H531" s="12">
        <v>468749.69427083724</v>
      </c>
      <c r="I531" s="12">
        <v>468749.69427083724</v>
      </c>
      <c r="J531" s="12">
        <v>468749.69427083724</v>
      </c>
      <c r="K531" s="12">
        <v>468749.69427083724</v>
      </c>
      <c r="L531" s="12">
        <v>468749.69427083724</v>
      </c>
      <c r="M531" s="12">
        <v>468749.69427083724</v>
      </c>
      <c r="N531" s="12">
        <v>468749.69427083724</v>
      </c>
      <c r="O531" s="12">
        <v>468749.69427083724</v>
      </c>
      <c r="P531" s="12">
        <v>468749.69427083724</v>
      </c>
      <c r="Q531" s="12">
        <v>468749.69427083724</v>
      </c>
      <c r="R531" s="1">
        <v>3070000</v>
      </c>
      <c r="S531" s="1" t="s">
        <v>779</v>
      </c>
      <c r="V531" s="1" t="s">
        <v>779</v>
      </c>
      <c r="X531" s="14"/>
    </row>
    <row r="532" spans="1:24" hidden="1" outlineLevel="1">
      <c r="B532" s="28">
        <v>3120000</v>
      </c>
      <c r="C532" s="28" t="s">
        <v>795</v>
      </c>
      <c r="E532" s="11"/>
      <c r="F532" s="12">
        <v>13594.3753179163</v>
      </c>
      <c r="G532" s="12">
        <v>13594.3753179163</v>
      </c>
      <c r="H532" s="12">
        <v>13594.3753179163</v>
      </c>
      <c r="I532" s="12">
        <v>13594.3753179163</v>
      </c>
      <c r="J532" s="12">
        <v>13594.3753179163</v>
      </c>
      <c r="K532" s="12">
        <v>13594.3753179163</v>
      </c>
      <c r="L532" s="12">
        <v>13594.3753179163</v>
      </c>
      <c r="M532" s="12">
        <v>13594.3753179163</v>
      </c>
      <c r="N532" s="12">
        <v>13594.3753179163</v>
      </c>
      <c r="O532" s="12">
        <v>13594.3753179163</v>
      </c>
      <c r="P532" s="12">
        <v>13594.3753179163</v>
      </c>
      <c r="Q532" s="12">
        <v>13594.3753179163</v>
      </c>
      <c r="R532" s="1">
        <v>3120000</v>
      </c>
      <c r="S532" s="1" t="s">
        <v>796</v>
      </c>
      <c r="V532" s="1">
        <v>0</v>
      </c>
      <c r="X532" s="14"/>
    </row>
    <row r="533" spans="1:24" hidden="1" outlineLevel="1">
      <c r="B533" s="28"/>
      <c r="C533" s="28" t="s">
        <v>797</v>
      </c>
      <c r="E533" s="11"/>
      <c r="F533" s="12">
        <v>96023.815608980367</v>
      </c>
      <c r="G533" s="12">
        <v>104440.87923409091</v>
      </c>
      <c r="H533" s="12">
        <v>71526.277525786194</v>
      </c>
      <c r="I533" s="12">
        <v>79378.560723098461</v>
      </c>
      <c r="J533" s="12">
        <v>65264.396407479653</v>
      </c>
      <c r="K533" s="12">
        <v>58600.452164215618</v>
      </c>
      <c r="L533" s="12">
        <v>102840.06224910961</v>
      </c>
      <c r="M533" s="12">
        <v>99205.339865019661</v>
      </c>
      <c r="N533" s="12">
        <v>56525.394722455996</v>
      </c>
      <c r="O533" s="12">
        <v>100012.34003205888</v>
      </c>
      <c r="P533" s="12">
        <v>82367.033874719171</v>
      </c>
      <c r="Q533" s="12">
        <v>43320.239097165177</v>
      </c>
      <c r="R533" s="61">
        <v>3070000</v>
      </c>
      <c r="S533" s="61" t="s">
        <v>779</v>
      </c>
      <c r="T533" s="61"/>
      <c r="U533" s="61"/>
      <c r="V533" s="1" t="e">
        <v>#N/A</v>
      </c>
      <c r="W533" s="1" t="e">
        <v>#N/A</v>
      </c>
      <c r="X533" s="14"/>
    </row>
    <row r="534" spans="1:24" hidden="1" outlineLevel="1">
      <c r="B534" s="62" t="s">
        <v>798</v>
      </c>
      <c r="C534" s="63"/>
      <c r="E534" s="64"/>
      <c r="F534" s="64">
        <f>SUM(F517:F533)</f>
        <v>5176109.7979194084</v>
      </c>
      <c r="G534" s="64">
        <f t="shared" ref="G534:Q534" si="25">SUM(G517:G533)</f>
        <v>6762899.9068665374</v>
      </c>
      <c r="H534" s="64">
        <f t="shared" si="25"/>
        <v>6837953.0558088515</v>
      </c>
      <c r="I534" s="64">
        <f t="shared" si="25"/>
        <v>6920806.2047511637</v>
      </c>
      <c r="J534" s="64">
        <f t="shared" si="25"/>
        <v>6989492.6870268118</v>
      </c>
      <c r="K534" s="64">
        <f t="shared" si="25"/>
        <v>7051462.5026357919</v>
      </c>
      <c r="L534" s="64">
        <f t="shared" si="25"/>
        <v>7157618.9849114399</v>
      </c>
      <c r="M534" s="64">
        <f t="shared" si="25"/>
        <v>7260087.5794636076</v>
      </c>
      <c r="N534" s="64">
        <f t="shared" si="25"/>
        <v>7319822.8406824442</v>
      </c>
      <c r="O534" s="64">
        <f t="shared" si="25"/>
        <v>7422991.4352346119</v>
      </c>
      <c r="P534" s="64">
        <f t="shared" si="25"/>
        <v>7508460.8869296378</v>
      </c>
      <c r="Q534" s="64">
        <f t="shared" si="25"/>
        <v>7554829.4814818054</v>
      </c>
      <c r="R534" s="1" t="e">
        <v>#N/A</v>
      </c>
      <c r="S534" s="1" t="e">
        <v>#N/A</v>
      </c>
      <c r="V534" s="1" t="e">
        <v>#N/A</v>
      </c>
      <c r="W534" s="1" t="e">
        <v>#N/A</v>
      </c>
      <c r="X534" s="14"/>
    </row>
    <row r="535" spans="1:24" hidden="1" outlineLevel="1">
      <c r="R535" s="1" t="e">
        <v>#N/A</v>
      </c>
      <c r="S535" s="1" t="e">
        <v>#N/A</v>
      </c>
      <c r="V535" s="1" t="e">
        <v>#N/A</v>
      </c>
      <c r="W535" s="1" t="e">
        <v>#N/A</v>
      </c>
    </row>
    <row r="536" spans="1:24" hidden="1" outlineLevel="1">
      <c r="C536" s="41"/>
      <c r="E536" s="41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</row>
    <row r="537" spans="1:24" hidden="1" outlineLevel="1">
      <c r="A537" s="45"/>
      <c r="B537" s="1" t="s">
        <v>799</v>
      </c>
      <c r="E537" s="14"/>
      <c r="F537" s="14">
        <f t="shared" ref="F537:Q537" si="26">F534-F450</f>
        <v>-1.4080852270126343E-3</v>
      </c>
      <c r="G537" s="14">
        <f t="shared" si="26"/>
        <v>-1.4080852270126343E-3</v>
      </c>
      <c r="H537" s="14">
        <f t="shared" si="26"/>
        <v>-1.408083364367485E-3</v>
      </c>
      <c r="I537" s="14">
        <f t="shared" si="26"/>
        <v>-1.408083364367485E-3</v>
      </c>
      <c r="J537" s="14">
        <f t="shared" si="26"/>
        <v>-1.4080842956900597E-3</v>
      </c>
      <c r="K537" s="14">
        <f t="shared" si="26"/>
        <v>-1.4080824330449104E-3</v>
      </c>
      <c r="L537" s="14">
        <f t="shared" si="26"/>
        <v>-1.4080815017223358E-3</v>
      </c>
      <c r="M537" s="14">
        <f t="shared" si="26"/>
        <v>-1.4080842956900597E-3</v>
      </c>
      <c r="N537" s="14">
        <f t="shared" si="26"/>
        <v>-1.4080805703997612E-3</v>
      </c>
      <c r="O537" s="14">
        <f t="shared" si="26"/>
        <v>-1.4080815017223358E-3</v>
      </c>
      <c r="P537" s="14">
        <f t="shared" si="26"/>
        <v>-1.4080815017223358E-3</v>
      </c>
      <c r="Q537" s="14">
        <f t="shared" si="26"/>
        <v>-1.4080805703997612E-3</v>
      </c>
    </row>
    <row r="538" spans="1:24" collapsed="1"/>
  </sheetData>
  <autoFilter ref="B3:V330" xr:uid="{728FC1EB-1A83-49DE-9282-108C5BB25AFB}"/>
  <conditionalFormatting sqref="B38">
    <cfRule type="duplicateValues" dxfId="2" priority="1"/>
  </conditionalFormatting>
  <conditionalFormatting sqref="B39:B42">
    <cfRule type="duplicateValues" dxfId="1" priority="10"/>
  </conditionalFormatting>
  <conditionalFormatting sqref="B540:B1048576 B1:B37 B43:B538">
    <cfRule type="duplicateValues" dxfId="0" priority="1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FY26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Caringal</dc:creator>
  <cp:lastModifiedBy>Grace Caringal</cp:lastModifiedBy>
  <dcterms:created xsi:type="dcterms:W3CDTF">2025-08-01T06:37:54Z</dcterms:created>
  <dcterms:modified xsi:type="dcterms:W3CDTF">2025-08-01T06:43:35Z</dcterms:modified>
</cp:coreProperties>
</file>