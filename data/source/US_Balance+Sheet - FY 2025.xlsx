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<sst xmlns="http://schemas.openxmlformats.org/spreadsheetml/2006/main" count="123" uniqueCount="123">
  <si>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</si>
  <si>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</si>
  <si>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</si>
  <si>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</si>
  <si>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</si>
  <si>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</si>
  <si>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</si>
  <si>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</si>
  <si>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</si>
  <si>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</si>
  <si>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</si>
  <si>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</si>
  <si>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ASSETS</t>
  </si>
  <si>
    <t xml:space="preserve">   Current Assets</t>
  </si>
  <si>
    <t xml:space="preserve">      Bank Accounts</t>
  </si>
  <si>
    <t xml:space="preserve">         91000 Perth Clearing Acccount</t>
  </si>
  <si>
    <t xml:space="preserve">         91100 Bank of America Savings - 6745</t>
  </si>
  <si>
    <t xml:space="preserve">         91200 Bank of America Checking - 5640</t>
  </si>
  <si>
    <t xml:space="preserve">         91201 BoA Debit Account - 8086</t>
  </si>
  <si>
    <t xml:space="preserve">         91300 Airwallex USD</t>
  </si>
  <si>
    <t xml:space="preserve">         91400 Petty Cash</t>
  </si>
  <si>
    <t xml:space="preserve">      Total Bank Accounts</t>
  </si>
  <si>
    <t xml:space="preserve">      Accounts Receivable</t>
  </si>
  <si>
    <t xml:space="preserve">         91700 Accounts Receivable</t>
  </si>
  <si>
    <t xml:space="preserve">            91703 Allowance for ECL</t>
  </si>
  <si>
    <t xml:space="preserve">         Total 91700 Accounts Receivable</t>
  </si>
  <si>
    <t xml:space="preserve">         91701 Allowance for Doubtful Accounts</t>
  </si>
  <si>
    <t xml:space="preserve">         91702 Sundry Debtors</t>
  </si>
  <si>
    <t xml:space="preserve">      Total Accounts Receivable</t>
  </si>
  <si>
    <t xml:space="preserve">      Other Current Assets</t>
  </si>
  <si>
    <t xml:space="preserve">         91500 Undeposited Funds</t>
  </si>
  <si>
    <t xml:space="preserve">         91900 Inventory Asset</t>
  </si>
  <si>
    <t xml:space="preserve">            91907 DX-64 Digital Radio</t>
  </si>
  <si>
    <t xml:space="preserve">            91908 Third Party Products</t>
  </si>
  <si>
    <t xml:space="preserve">            91909 Licences - Other</t>
  </si>
  <si>
    <t xml:space="preserve">            91920 Hardware - Omnitronics</t>
  </si>
  <si>
    <t xml:space="preserve">            91950 omnicore</t>
  </si>
  <si>
    <t xml:space="preserve">            91951 omnicore software</t>
  </si>
  <si>
    <t xml:space="preserve">            91999 Items out on loan</t>
  </si>
  <si>
    <t xml:space="preserve">         Total 91900 Inventory Asset</t>
  </si>
  <si>
    <t xml:space="preserve">         91911 Provision for Inventory Write Off</t>
  </si>
  <si>
    <t xml:space="preserve">         92100 EXCHANGE/REPAIR STOCK</t>
  </si>
  <si>
    <t xml:space="preserve">         94500 Prepayments</t>
  </si>
  <si>
    <t xml:space="preserve">         99998 Uncategorized Asset</t>
  </si>
  <si>
    <t xml:space="preserve">      Total Other Current Assets</t>
  </si>
  <si>
    <t xml:space="preserve">   Total Current Assets</t>
  </si>
  <si>
    <t xml:space="preserve">   Fixed Assets</t>
  </si>
  <si>
    <t xml:space="preserve">      91800 Purchase</t>
  </si>
  <si>
    <t xml:space="preserve">      93000 Furniture and Equipment</t>
  </si>
  <si>
    <t xml:space="preserve">      93001 Leasehold Improvements</t>
  </si>
  <si>
    <t xml:space="preserve">      94000 Office Equipment</t>
  </si>
  <si>
    <t xml:space="preserve">      94250 Accumulated Depreciation-Office Equipment</t>
  </si>
  <si>
    <t xml:space="preserve">   Total Fixed Assets</t>
  </si>
  <si>
    <t xml:space="preserve">   Other Assets</t>
  </si>
  <si>
    <t xml:space="preserve">      94501 Deposits Paid</t>
  </si>
  <si>
    <t xml:space="preserve">   Total Other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</si>
  <si>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</si>
  <si>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</si>
  <si>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</si>
  <si>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</si>
  <si>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Accounts Payable</t>
  </si>
  <si>
    <t xml:space="preserve">            95300 Accounts Payable</t>
  </si>
  <si>
    <t xml:space="preserve">            95302 Accounts Payable (A/P) - CAD</t>
  </si>
  <si>
    <t xml:space="preserve">            95303 Accounts Payable (A/P) - EUR</t>
  </si>
  <si>
    <t xml:space="preserve">         Total Accounts Payable</t>
  </si>
  <si>
    <t xml:space="preserve">         Other Current Liabilities</t>
  </si>
  <si>
    <t xml:space="preserve">            21105 Revenue in Advance</t>
  </si>
  <si>
    <t xml:space="preserve">            21106 SMA Income in Advance</t>
  </si>
  <si>
    <t xml:space="preserve">            24000 Payroll Liabilities</t>
  </si>
  <si>
    <t xml:space="preserve">               24001 RI Income Tax</t>
  </si>
  <si>
    <t xml:space="preserve">               24002 FL Department of Revenue Payable</t>
  </si>
  <si>
    <t xml:space="preserve">               24003 MS Income Tax</t>
  </si>
  <si>
    <t xml:space="preserve">               24004 MS Unemployment Tax</t>
  </si>
  <si>
    <t xml:space="preserve">               24005 VA Income Tax</t>
  </si>
  <si>
    <t xml:space="preserve">               24007 VA SUI Employer</t>
  </si>
  <si>
    <t xml:space="preserve">               24008 IL Income Tax</t>
  </si>
  <si>
    <t xml:space="preserve">               24009 IL Unemployment Tax</t>
  </si>
  <si>
    <t xml:space="preserve">               24010 LA Income Tax</t>
  </si>
  <si>
    <t xml:space="preserve">               24011 LA Unemployment Tax</t>
  </si>
  <si>
    <t xml:space="preserve">               24050 MetLife</t>
  </si>
  <si>
    <t xml:space="preserve">               24100 Federal payroll liability</t>
  </si>
  <si>
    <t xml:space="preserve">               24200 State SUI Payroll</t>
  </si>
  <si>
    <t xml:space="preserve">               24300 Health Insurance-1</t>
  </si>
  <si>
    <t xml:space="preserve">               24499 Direct Deposit Payable</t>
  </si>
  <si>
    <t xml:space="preserve">               24500 Payroll Accrual</t>
  </si>
  <si>
    <t xml:space="preserve">               24550 Commissions Payable</t>
  </si>
  <si>
    <t xml:space="preserve">               24560 United Healthcare Insurance - Spouse 50%</t>
  </si>
  <si>
    <t xml:space="preserve">               Expensed twice through Airwallex</t>
  </si>
  <si>
    <t xml:space="preserve">            Total 24000 Payroll Liabilities</t>
  </si>
  <si>
    <t xml:space="preserve">            25500 Sales Tax Payable</t>
  </si>
  <si>
    <t xml:space="preserve">               25501 Florida Department of Revenue Payable</t>
  </si>
  <si>
    <t xml:space="preserve">               25502 Boston Payable</t>
  </si>
  <si>
    <t xml:space="preserve">               25503 NC Department of Revenue Payable</t>
  </si>
  <si>
    <t xml:space="preserve">               25504 Indiana Department of Revenue Payable</t>
  </si>
  <si>
    <t xml:space="preserve">               25505 New York State Department of Tax &amp; Finance Payable</t>
  </si>
  <si>
    <t xml:space="preserve">               25506 Ohio Payable</t>
  </si>
  <si>
    <t xml:space="preserve">               25507 Arkansas Payable</t>
  </si>
  <si>
    <t xml:space="preserve">               25508 State of North Carolina Payable</t>
  </si>
  <si>
    <t xml:space="preserve">               25509 WA Payable</t>
  </si>
  <si>
    <t xml:space="preserve">               25511 California Department of Tax and Fee Administration Payable</t>
  </si>
  <si>
    <t xml:space="preserve">               25512 NEW JERSEY DIVISION OF REVENUE Payable</t>
  </si>
  <si>
    <t xml:space="preserve">               25513 Wyoming Department of Revenue Payable</t>
  </si>
  <si>
    <t xml:space="preserve">               25520 Out Of Scope Agency Payable</t>
  </si>
  <si>
    <t xml:space="preserve">               25530 Sales Tax Agency Payable</t>
  </si>
  <si>
    <t xml:space="preserve">               25540 Reseller Payable</t>
  </si>
  <si>
    <t xml:space="preserve">            Total 25500 Sales Tax Payable</t>
  </si>
  <si>
    <t xml:space="preserve">            25700 Accrued Expenses</t>
  </si>
  <si>
    <t xml:space="preserve">            26000 Income Tax Payable</t>
  </si>
  <si>
    <t xml:space="preserve">            28000 Loan - Omnitronics Australia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</si>
  <si>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</si>
  <si>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</si>
  <si>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</si>
  <si>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</si>
  <si>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30000 Opening Balance Equity</t>
  </si>
  <si>
    <t xml:space="preserve">      39000 Capital Stock</t>
  </si>
  <si>
    <t xml:space="preserve">      39200 Retained Earnings</t>
  </si>
  <si>
    <t xml:space="preserve">      Net Income</t>
  </si>
  <si>
    <t xml:space="preserve">   Total Equity</t>
  </si>
  <si>
    <t>TOTAL LIABILITIES AND EQUITY</t>
  </si>
  <si>
    <t>Friday, Aug 01, 2025 01:11:48 AM GMT-7 - Accrual Basis</t>
  </si>
  <si>
    <t>OMNITRONICS, INC.</t>
  </si>
  <si>
    <t>Balance Sheet</t>
  </si>
  <si>
    <t>As of June 30,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</si>
</sst>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6"/>
  <sheetViews>
    <sheetView workbookViewId="0" tabSelected="true"/>
  </sheetViews>
  <sheetFormatPr defaultRowHeight="15.0"/>
  <cols>
    <col min="1" max="1" width="69.609375" customWidth="true"/>
    <col min="2" max="2" width="11.171875" customWidth="true"/>
    <col min="3" max="3" width="10.3125" customWidth="true"/>
    <col min="4" max="4" width="10.3125" customWidth="true"/>
    <col min="5" max="5" width="10.3125" customWidth="true"/>
    <col min="6" max="6" width="10.3125" customWidth="true"/>
    <col min="7" max="7" width="10.3125" customWidth="true"/>
    <col min="8" max="8" width="10.3125" customWidth="true"/>
    <col min="9" max="9" width="10.3125" customWidth="true"/>
    <col min="10" max="10" width="10.3125" customWidth="true"/>
    <col min="11" max="11" width="10.3125" customWidth="true"/>
    <col min="12" max="12" width="10.3125" customWidth="true"/>
    <col min="13" max="13" width="10.3125" customWidth="true"/>
  </cols>
  <sheetData>
    <row r="1">
      <c r="A1" s="9" t="s">
        <v>120</v>
      </c>
      <c r="B1"/>
      <c r="C1"/>
      <c r="D1"/>
      <c r="E1"/>
      <c r="F1"/>
      <c r="G1"/>
      <c r="H1"/>
      <c r="I1"/>
      <c r="J1"/>
      <c r="K1"/>
      <c r="L1"/>
      <c r="M1"/>
    </row>
    <row r="2">
      <c r="A2" s="9" t="s">
        <v>121</v>
      </c>
      <c r="B2"/>
      <c r="C2"/>
      <c r="D2"/>
      <c r="E2"/>
      <c r="F2"/>
      <c r="G2"/>
      <c r="H2"/>
      <c r="I2"/>
      <c r="J2"/>
      <c r="K2"/>
      <c r="L2"/>
      <c r="M2"/>
    </row>
    <row r="3">
      <c r="A3" s="10" t="s">
        <v>122</v>
      </c>
      <c r="B3"/>
      <c r="C3"/>
      <c r="D3"/>
      <c r="E3"/>
      <c r="F3"/>
      <c r="G3"/>
      <c r="H3"/>
      <c r="I3"/>
      <c r="J3"/>
      <c r="K3"/>
      <c r="L3"/>
      <c r="M3"/>
    </row>
    <row r="5">
      <c r="A5" s="1"/>
      <c r="B5" t="s" s="2">
        <v>0</v>
      </c>
      <c r="C5" t="s" s="2">
        <v>1</v>
      </c>
      <c r="D5" t="s" s="2">
        <v>2</v>
      </c>
      <c r="E5" t="s" s="2">
        <v>3</v>
      </c>
      <c r="F5" t="s" s="2">
        <v>4</v>
      </c>
      <c r="G5" t="s" s="2">
        <v>5</v>
      </c>
      <c r="H5" t="s" s="2">
        <v>6</v>
      </c>
      <c r="I5" t="s" s="2">
        <v>7</v>
      </c>
      <c r="J5" t="s" s="2">
        <v>8</v>
      </c>
      <c r="K5" t="s" s="2">
        <v>9</v>
      </c>
      <c r="L5" t="s" s="2">
        <v>10</v>
      </c>
      <c r="M5" t="s" s="2">
        <v>11</v>
      </c>
    </row>
    <row r="6">
      <c r="A6" t="s" s="3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t="s" s="3">
        <v>13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t="s" s="3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t="s" s="3">
        <v>15</v>
      </c>
      <c r="B9" t="n" s="5">
        <f>0.00</f>
        <v>0.0</v>
      </c>
      <c r="C9" t="n" s="5">
        <f>0.00</f>
        <v>0.0</v>
      </c>
      <c r="D9" t="n" s="5">
        <f>0.00</f>
        <v>0.0</v>
      </c>
      <c r="E9" t="n" s="5">
        <f>0.00</f>
        <v>0.0</v>
      </c>
      <c r="F9" t="n" s="5">
        <f>0.00</f>
        <v>0.0</v>
      </c>
      <c r="G9" t="n" s="5">
        <f>0.00</f>
        <v>0.0</v>
      </c>
      <c r="H9" t="n" s="5">
        <f>0.00</f>
        <v>0.0</v>
      </c>
      <c r="I9" t="n" s="5">
        <f>0.00</f>
        <v>0.0</v>
      </c>
      <c r="J9" t="n" s="5">
        <f>0.00</f>
        <v>0.0</v>
      </c>
      <c r="K9" t="n" s="5">
        <f>0.00</f>
        <v>0.0</v>
      </c>
      <c r="L9" t="n" s="5">
        <f>0.00</f>
        <v>0.0</v>
      </c>
      <c r="M9" t="n" s="5">
        <f>0.00</f>
        <v>0.0</v>
      </c>
    </row>
    <row r="10">
      <c r="A10" t="s" s="3">
        <v>16</v>
      </c>
      <c r="B10" t="n" s="5">
        <f>853.81</f>
        <v>0.0</v>
      </c>
      <c r="C10" t="n" s="5">
        <f>853.82</f>
        <v>0.0</v>
      </c>
      <c r="D10" t="n" s="5">
        <f>C10</f>
        <v>0.0</v>
      </c>
      <c r="E10" t="n" s="5">
        <f>853.84</f>
        <v>0.0</v>
      </c>
      <c r="F10" t="n" s="5">
        <f>853.85</f>
        <v>0.0</v>
      </c>
      <c r="G10" t="n" s="5">
        <f>853.86</f>
        <v>0.0</v>
      </c>
      <c r="H10" t="n" s="5">
        <f>853.87</f>
        <v>0.0</v>
      </c>
      <c r="I10" t="n" s="5">
        <f>853.88</f>
        <v>0.0</v>
      </c>
      <c r="J10" t="n" s="5">
        <f>853.89</f>
        <v>0.0</v>
      </c>
      <c r="K10" t="n" s="5">
        <f>853.90</f>
        <v>0.0</v>
      </c>
      <c r="L10" t="n" s="5">
        <f>853.91</f>
        <v>0.0</v>
      </c>
      <c r="M10" t="n" s="5">
        <f>853.92</f>
        <v>0.0</v>
      </c>
    </row>
    <row r="11">
      <c r="A11" t="s" s="3">
        <v>17</v>
      </c>
      <c r="B11" t="n" s="5">
        <f>56261.18</f>
        <v>0.0</v>
      </c>
      <c r="C11" t="n" s="5">
        <f>93088.56</f>
        <v>0.0</v>
      </c>
      <c r="D11" t="n" s="5">
        <f>68360.81</f>
        <v>0.0</v>
      </c>
      <c r="E11" t="n" s="5">
        <f>251246.51</f>
        <v>0.0</v>
      </c>
      <c r="F11" t="n" s="5">
        <f>231654.66</f>
        <v>0.0</v>
      </c>
      <c r="G11" t="n" s="5">
        <f>223788.37</f>
        <v>0.0</v>
      </c>
      <c r="H11" t="n" s="5">
        <f>212228.03</f>
        <v>0.0</v>
      </c>
      <c r="I11" t="n" s="5">
        <f>210144.67</f>
        <v>0.0</v>
      </c>
      <c r="J11" t="n" s="5">
        <f>144236.39</f>
        <v>0.0</v>
      </c>
      <c r="K11" t="n" s="5">
        <f>133550.62</f>
        <v>0.0</v>
      </c>
      <c r="L11" t="n" s="5">
        <f>283815.39</f>
        <v>0.0</v>
      </c>
      <c r="M11" t="n" s="5">
        <f>276669.63</f>
        <v>0.0</v>
      </c>
    </row>
    <row r="12">
      <c r="A12" t="s" s="3">
        <v>18</v>
      </c>
      <c r="B12" t="n" s="5">
        <f>0.00</f>
        <v>0.0</v>
      </c>
      <c r="C12" t="n" s="5">
        <f>B12</f>
        <v>0.0</v>
      </c>
      <c r="D12" t="n" s="5">
        <f>C12</f>
        <v>0.0</v>
      </c>
      <c r="E12" t="n" s="5">
        <f>D12</f>
        <v>0.0</v>
      </c>
      <c r="F12" t="n" s="5">
        <f>E12</f>
        <v>0.0</v>
      </c>
      <c r="G12" t="n" s="5">
        <f>F12</f>
        <v>0.0</v>
      </c>
      <c r="H12" t="n" s="5">
        <f>G12</f>
        <v>0.0</v>
      </c>
      <c r="I12" t="n" s="5">
        <f>H12</f>
        <v>0.0</v>
      </c>
      <c r="J12" t="n" s="5">
        <f>I12</f>
        <v>0.0</v>
      </c>
      <c r="K12" t="n" s="5">
        <f>J12</f>
        <v>0.0</v>
      </c>
      <c r="L12" t="n" s="5">
        <f>K12</f>
        <v>0.0</v>
      </c>
      <c r="M12" t="n" s="5">
        <f>L12</f>
        <v>0.0</v>
      </c>
    </row>
    <row r="13">
      <c r="A13" t="s" s="3">
        <v>19</v>
      </c>
      <c r="B13" t="n" s="5">
        <f>131127.99</f>
        <v>0.0</v>
      </c>
      <c r="C13" t="n" s="5">
        <f>134366.06</f>
        <v>0.0</v>
      </c>
      <c r="D13" t="n" s="5">
        <f>207798.34</f>
        <v>0.0</v>
      </c>
      <c r="E13" t="n" s="5">
        <f>219590.08</f>
        <v>0.0</v>
      </c>
      <c r="F13" t="n" s="5">
        <f>137317.21</f>
        <v>0.0</v>
      </c>
      <c r="G13" t="n" s="5">
        <f>171416.17</f>
        <v>0.0</v>
      </c>
      <c r="H13" t="n" s="5">
        <f>216960.85</f>
        <v>0.0</v>
      </c>
      <c r="I13" t="n" s="5">
        <f>107779.54</f>
        <v>0.0</v>
      </c>
      <c r="J13" t="n" s="5">
        <f>30863.50</f>
        <v>0.0</v>
      </c>
      <c r="K13" t="n" s="5">
        <f>73971.52</f>
        <v>0.0</v>
      </c>
      <c r="L13" t="n" s="5">
        <f>59678.30</f>
        <v>0.0</v>
      </c>
      <c r="M13" t="n" s="5">
        <f>35235.19</f>
        <v>0.0</v>
      </c>
    </row>
    <row r="14">
      <c r="A14" t="s" s="3">
        <v>20</v>
      </c>
      <c r="B14" t="n" s="5">
        <f>0.00</f>
        <v>0.0</v>
      </c>
      <c r="C14" t="n" s="5">
        <f>B14</f>
        <v>0.0</v>
      </c>
      <c r="D14" t="n" s="5">
        <f>C14</f>
        <v>0.0</v>
      </c>
      <c r="E14" t="n" s="5">
        <f>D14</f>
        <v>0.0</v>
      </c>
      <c r="F14" t="n" s="5">
        <f>E14</f>
        <v>0.0</v>
      </c>
      <c r="G14" t="n" s="5">
        <f>F14</f>
        <v>0.0</v>
      </c>
      <c r="H14" t="n" s="5">
        <f>G14</f>
        <v>0.0</v>
      </c>
      <c r="I14" t="n" s="5">
        <f>H14</f>
        <v>0.0</v>
      </c>
      <c r="J14" t="n" s="5">
        <f>I14</f>
        <v>0.0</v>
      </c>
      <c r="K14" t="n" s="5">
        <f>J14</f>
        <v>0.0</v>
      </c>
      <c r="L14" t="n" s="5">
        <f>K14</f>
        <v>0.0</v>
      </c>
      <c r="M14" t="n" s="5">
        <f>L14</f>
        <v>0.0</v>
      </c>
    </row>
    <row r="15">
      <c r="A15" t="s" s="3">
        <v>21</v>
      </c>
      <c r="B15" t="n" s="6">
        <f>(((((B9)+(B10))+(B11))+(B12))+(B13))+(B14)</f>
        <v>0.0</v>
      </c>
      <c r="C15" t="n" s="6">
        <f>(((((C9)+(C10))+(C11))+(C12))+(C13))+(C14)</f>
        <v>0.0</v>
      </c>
      <c r="D15" t="n" s="6">
        <f>(((((D9)+(D10))+(D11))+(D12))+(D13))+(D14)</f>
        <v>0.0</v>
      </c>
      <c r="E15" t="n" s="6">
        <f>(((((E9)+(E10))+(E11))+(E12))+(E13))+(E14)</f>
        <v>0.0</v>
      </c>
      <c r="F15" t="n" s="6">
        <f>(((((F9)+(F10))+(F11))+(F12))+(F13))+(F14)</f>
        <v>0.0</v>
      </c>
      <c r="G15" t="n" s="6">
        <f>(((((G9)+(G10))+(G11))+(G12))+(G13))+(G14)</f>
        <v>0.0</v>
      </c>
      <c r="H15" t="n" s="6">
        <f>(((((H9)+(H10))+(H11))+(H12))+(H13))+(H14)</f>
        <v>0.0</v>
      </c>
      <c r="I15" t="n" s="6">
        <f>(((((I9)+(I10))+(I11))+(I12))+(I13))+(I14)</f>
        <v>0.0</v>
      </c>
      <c r="J15" t="n" s="6">
        <f>(((((J9)+(J10))+(J11))+(J12))+(J13))+(J14)</f>
        <v>0.0</v>
      </c>
      <c r="K15" t="n" s="6">
        <f>(((((K9)+(K10))+(K11))+(K12))+(K13))+(K14)</f>
        <v>0.0</v>
      </c>
      <c r="L15" t="n" s="6">
        <f>(((((L9)+(L10))+(L11))+(L12))+(L13))+(L14)</f>
        <v>0.0</v>
      </c>
      <c r="M15" t="n" s="6">
        <f>(((((M9)+(M10))+(M11))+(M12))+(M13))+(M14)</f>
        <v>0.0</v>
      </c>
    </row>
    <row r="16">
      <c r="A16" t="s" s="3">
        <v>22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>
      <c r="A17" t="s" s="3">
        <v>23</v>
      </c>
      <c r="B17" t="n" s="5">
        <f>302731.78</f>
        <v>0.0</v>
      </c>
      <c r="C17" t="n" s="5">
        <f>318406.69</f>
        <v>0.0</v>
      </c>
      <c r="D17" t="n" s="5">
        <f>248680.72</f>
        <v>0.0</v>
      </c>
      <c r="E17" t="n" s="5">
        <f>305118.75</f>
        <v>0.0</v>
      </c>
      <c r="F17" t="n" s="5">
        <f>179997.75</f>
        <v>0.0</v>
      </c>
      <c r="G17" t="n" s="5">
        <f>341094.85</f>
        <v>0.0</v>
      </c>
      <c r="H17" t="n" s="5">
        <f>44869.75</f>
        <v>0.0</v>
      </c>
      <c r="I17" t="n" s="5">
        <f>153388.25</f>
        <v>0.0</v>
      </c>
      <c r="J17" t="n" s="5">
        <f>133708.50</f>
        <v>0.0</v>
      </c>
      <c r="K17" t="n" s="5">
        <f>179270.36</f>
        <v>0.0</v>
      </c>
      <c r="L17" t="n" s="5">
        <f>30274.14</f>
        <v>0.0</v>
      </c>
      <c r="M17" t="n" s="5">
        <f>114117.74</f>
        <v>0.0</v>
      </c>
    </row>
    <row r="18">
      <c r="A18" t="s" s="3">
        <v>24</v>
      </c>
      <c r="B18" t="n" s="5">
        <f>-4419.23</f>
        <v>0.0</v>
      </c>
      <c r="C18" t="n" s="5">
        <f>B18</f>
        <v>0.0</v>
      </c>
      <c r="D18" t="n" s="5">
        <f>C18</f>
        <v>0.0</v>
      </c>
      <c r="E18" t="n" s="5">
        <f>D18</f>
        <v>0.0</v>
      </c>
      <c r="F18" t="n" s="5">
        <f>E18</f>
        <v>0.0</v>
      </c>
      <c r="G18" t="n" s="5">
        <f>F18</f>
        <v>0.0</v>
      </c>
      <c r="H18" t="n" s="5">
        <f>G18</f>
        <v>0.0</v>
      </c>
      <c r="I18" t="n" s="5">
        <f>H18</f>
        <v>0.0</v>
      </c>
      <c r="J18" t="n" s="5">
        <f>I18</f>
        <v>0.0</v>
      </c>
      <c r="K18" t="n" s="5">
        <f>J18</f>
        <v>0.0</v>
      </c>
      <c r="L18" t="n" s="5">
        <f>K18</f>
        <v>0.0</v>
      </c>
      <c r="M18" t="n" s="5">
        <f>L18</f>
        <v>0.0</v>
      </c>
    </row>
    <row r="19">
      <c r="A19" t="s" s="3">
        <v>25</v>
      </c>
      <c r="B19" t="n" s="6">
        <f>(B17)+(B18)</f>
        <v>0.0</v>
      </c>
      <c r="C19" t="n" s="6">
        <f>(C17)+(C18)</f>
        <v>0.0</v>
      </c>
      <c r="D19" t="n" s="6">
        <f>(D17)+(D18)</f>
        <v>0.0</v>
      </c>
      <c r="E19" t="n" s="6">
        <f>(E17)+(E18)</f>
        <v>0.0</v>
      </c>
      <c r="F19" t="n" s="6">
        <f>(F17)+(F18)</f>
        <v>0.0</v>
      </c>
      <c r="G19" t="n" s="6">
        <f>(G17)+(G18)</f>
        <v>0.0</v>
      </c>
      <c r="H19" t="n" s="6">
        <f>(H17)+(H18)</f>
        <v>0.0</v>
      </c>
      <c r="I19" t="n" s="6">
        <f>(I17)+(I18)</f>
        <v>0.0</v>
      </c>
      <c r="J19" t="n" s="6">
        <f>(J17)+(J18)</f>
        <v>0.0</v>
      </c>
      <c r="K19" t="n" s="6">
        <f>(K17)+(K18)</f>
        <v>0.0</v>
      </c>
      <c r="L19" t="n" s="6">
        <f>(L17)+(L18)</f>
        <v>0.0</v>
      </c>
      <c r="M19" t="n" s="6">
        <f>(M17)+(M18)</f>
        <v>0.0</v>
      </c>
    </row>
    <row r="20">
      <c r="A20" t="s" s="3">
        <v>26</v>
      </c>
      <c r="B20" t="n" s="5">
        <f>0.00</f>
        <v>0.0</v>
      </c>
      <c r="C20" t="n" s="5">
        <f>B20</f>
        <v>0.0</v>
      </c>
      <c r="D20" t="n" s="5">
        <f>C20</f>
        <v>0.0</v>
      </c>
      <c r="E20" t="n" s="5">
        <f>D20</f>
        <v>0.0</v>
      </c>
      <c r="F20" t="n" s="5">
        <f>E20</f>
        <v>0.0</v>
      </c>
      <c r="G20" t="n" s="5">
        <f>F20</f>
        <v>0.0</v>
      </c>
      <c r="H20" t="n" s="5">
        <f>G20</f>
        <v>0.0</v>
      </c>
      <c r="I20" t="n" s="5">
        <f>H20</f>
        <v>0.0</v>
      </c>
      <c r="J20" t="n" s="5">
        <f>I20</f>
        <v>0.0</v>
      </c>
      <c r="K20" t="n" s="5">
        <f>J20</f>
        <v>0.0</v>
      </c>
      <c r="L20" t="n" s="5">
        <f>K20</f>
        <v>0.0</v>
      </c>
      <c r="M20" t="n" s="5">
        <f>L20</f>
        <v>0.0</v>
      </c>
    </row>
    <row r="21">
      <c r="A21" t="s" s="3">
        <v>27</v>
      </c>
      <c r="B21" t="n" s="5">
        <f>0.00</f>
        <v>0.0</v>
      </c>
      <c r="C21" t="n" s="5">
        <f>B21</f>
        <v>0.0</v>
      </c>
      <c r="D21" t="n" s="5">
        <f>C21</f>
        <v>0.0</v>
      </c>
      <c r="E21" t="n" s="5">
        <f>D21</f>
        <v>0.0</v>
      </c>
      <c r="F21" t="n" s="5">
        <f>E21</f>
        <v>0.0</v>
      </c>
      <c r="G21" t="n" s="5">
        <f>F21</f>
        <v>0.0</v>
      </c>
      <c r="H21" t="n" s="5">
        <f>G21</f>
        <v>0.0</v>
      </c>
      <c r="I21" t="n" s="5">
        <f>H21</f>
        <v>0.0</v>
      </c>
      <c r="J21" t="n" s="5">
        <f>I21</f>
        <v>0.0</v>
      </c>
      <c r="K21" t="n" s="5">
        <f>J21</f>
        <v>0.0</v>
      </c>
      <c r="L21" t="n" s="5">
        <f>K21</f>
        <v>0.0</v>
      </c>
      <c r="M21" t="n" s="5">
        <f>L21</f>
        <v>0.0</v>
      </c>
    </row>
    <row r="22">
      <c r="A22" t="s" s="3">
        <v>28</v>
      </c>
      <c r="B22" t="n" s="6">
        <f>((B19)+(B20))+(B21)</f>
        <v>0.0</v>
      </c>
      <c r="C22" t="n" s="6">
        <f>((C19)+(C20))+(C21)</f>
        <v>0.0</v>
      </c>
      <c r="D22" t="n" s="6">
        <f>((D19)+(D20))+(D21)</f>
        <v>0.0</v>
      </c>
      <c r="E22" t="n" s="6">
        <f>((E19)+(E20))+(E21)</f>
        <v>0.0</v>
      </c>
      <c r="F22" t="n" s="6">
        <f>((F19)+(F20))+(F21)</f>
        <v>0.0</v>
      </c>
      <c r="G22" t="n" s="6">
        <f>((G19)+(G20))+(G21)</f>
        <v>0.0</v>
      </c>
      <c r="H22" t="n" s="6">
        <f>((H19)+(H20))+(H21)</f>
        <v>0.0</v>
      </c>
      <c r="I22" t="n" s="6">
        <f>((I19)+(I20))+(I21)</f>
        <v>0.0</v>
      </c>
      <c r="J22" t="n" s="6">
        <f>((J19)+(J20))+(J21)</f>
        <v>0.0</v>
      </c>
      <c r="K22" t="n" s="6">
        <f>((K19)+(K20))+(K21)</f>
        <v>0.0</v>
      </c>
      <c r="L22" t="n" s="6">
        <f>((L19)+(L20))+(L21)</f>
        <v>0.0</v>
      </c>
      <c r="M22" t="n" s="6">
        <f>((M19)+(M20))+(M21)</f>
        <v>0.0</v>
      </c>
    </row>
    <row r="23">
      <c r="A23" t="s" s="3">
        <v>29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t="s" s="3">
        <v>30</v>
      </c>
      <c r="B24" t="n" s="5">
        <f>0.00</f>
        <v>0.0</v>
      </c>
      <c r="C24" t="n" s="5">
        <f>0.00</f>
        <v>0.0</v>
      </c>
      <c r="D24" t="n" s="5">
        <f>0.00</f>
        <v>0.0</v>
      </c>
      <c r="E24" t="n" s="5">
        <f>D24</f>
        <v>0.0</v>
      </c>
      <c r="F24" t="n" s="5">
        <f>0.00</f>
        <v>0.0</v>
      </c>
      <c r="G24" t="n" s="5">
        <f>F24</f>
        <v>0.0</v>
      </c>
      <c r="H24" t="n" s="5">
        <f>G24</f>
        <v>0.0</v>
      </c>
      <c r="I24" t="n" s="5">
        <f>4253.50</f>
        <v>0.0</v>
      </c>
      <c r="J24" t="n" s="5">
        <f>0.00</f>
        <v>0.0</v>
      </c>
      <c r="K24" t="n" s="5">
        <f>J24</f>
        <v>0.0</v>
      </c>
      <c r="L24" t="n" s="5">
        <f>K24</f>
        <v>0.0</v>
      </c>
      <c r="M24" t="n" s="5">
        <f>L24</f>
        <v>0.0</v>
      </c>
    </row>
    <row r="25">
      <c r="A25" t="s" s="3">
        <v>31</v>
      </c>
      <c r="B25" t="n" s="5">
        <f>0.00</f>
        <v>0.0</v>
      </c>
      <c r="C25" t="n" s="5">
        <f>B25</f>
        <v>0.0</v>
      </c>
      <c r="D25" t="n" s="5">
        <f>C25</f>
        <v>0.0</v>
      </c>
      <c r="E25" t="n" s="5">
        <f>D25</f>
        <v>0.0</v>
      </c>
      <c r="F25" t="n" s="5">
        <f>E25</f>
        <v>0.0</v>
      </c>
      <c r="G25" t="n" s="5">
        <f>F25</f>
        <v>0.0</v>
      </c>
      <c r="H25" t="n" s="5">
        <f>G25</f>
        <v>0.0</v>
      </c>
      <c r="I25" t="n" s="5">
        <f>H25</f>
        <v>0.0</v>
      </c>
      <c r="J25" t="n" s="5">
        <f>I25</f>
        <v>0.0</v>
      </c>
      <c r="K25" t="n" s="5">
        <f>J25</f>
        <v>0.0</v>
      </c>
      <c r="L25" t="n" s="5">
        <f>K25</f>
        <v>0.0</v>
      </c>
      <c r="M25" t="n" s="5">
        <f>L25</f>
        <v>0.0</v>
      </c>
    </row>
    <row r="26">
      <c r="A26" t="s" s="3">
        <v>32</v>
      </c>
      <c r="B26" t="n" s="5">
        <f>0.00</f>
        <v>0.0</v>
      </c>
      <c r="C26" t="n" s="5">
        <f>B26</f>
        <v>0.0</v>
      </c>
      <c r="D26" t="n" s="5">
        <f>C26</f>
        <v>0.0</v>
      </c>
      <c r="E26" t="n" s="5">
        <f>D26</f>
        <v>0.0</v>
      </c>
      <c r="F26" t="n" s="5">
        <f>E26</f>
        <v>0.0</v>
      </c>
      <c r="G26" t="n" s="5">
        <f>F26</f>
        <v>0.0</v>
      </c>
      <c r="H26" t="n" s="5">
        <f>G26</f>
        <v>0.0</v>
      </c>
      <c r="I26" t="n" s="5">
        <f>H26</f>
        <v>0.0</v>
      </c>
      <c r="J26" t="n" s="5">
        <f>I26</f>
        <v>0.0</v>
      </c>
      <c r="K26" t="n" s="5">
        <f>J26</f>
        <v>0.0</v>
      </c>
      <c r="L26" t="n" s="5">
        <f>K26</f>
        <v>0.0</v>
      </c>
      <c r="M26" t="n" s="5">
        <f>L26</f>
        <v>0.0</v>
      </c>
    </row>
    <row r="27">
      <c r="A27" t="s" s="3">
        <v>33</v>
      </c>
      <c r="B27" t="n" s="5">
        <f>18479.72</f>
        <v>0.0</v>
      </c>
      <c r="C27" t="n" s="5">
        <f>18334.59</f>
        <v>0.0</v>
      </c>
      <c r="D27" t="n" s="5">
        <f>18238.33</f>
        <v>0.0</v>
      </c>
      <c r="E27" t="n" s="5">
        <f>21358.20</f>
        <v>0.0</v>
      </c>
      <c r="F27" t="n" s="5">
        <f>21784.53</f>
        <v>0.0</v>
      </c>
      <c r="G27" t="n" s="5">
        <f>21415.94</f>
        <v>0.0</v>
      </c>
      <c r="H27" t="n" s="5">
        <f>22166.69</f>
        <v>0.0</v>
      </c>
      <c r="I27" t="n" s="5">
        <f>20777.49</f>
        <v>0.0</v>
      </c>
      <c r="J27" t="n" s="5">
        <f>20731.49</f>
        <v>0.0</v>
      </c>
      <c r="K27" t="n" s="5">
        <f>19896.39</f>
        <v>0.0</v>
      </c>
      <c r="L27" t="n" s="5">
        <f>29782.76</f>
        <v>0.0</v>
      </c>
      <c r="M27" t="n" s="5">
        <f>20332.76</f>
        <v>0.0</v>
      </c>
    </row>
    <row r="28">
      <c r="A28" t="s" s="3">
        <v>34</v>
      </c>
      <c r="B28" t="n" s="5">
        <f>0.00</f>
        <v>0.0</v>
      </c>
      <c r="C28" t="n" s="5">
        <f>0.00</f>
        <v>0.0</v>
      </c>
      <c r="D28" t="n" s="5">
        <f>C28</f>
        <v>0.0</v>
      </c>
      <c r="E28" t="n" s="5">
        <f>0.00</f>
        <v>0.0</v>
      </c>
      <c r="F28" t="n" s="5">
        <f>0.00</f>
        <v>0.0</v>
      </c>
      <c r="G28" t="n" s="5">
        <f>0.00</f>
        <v>0.0</v>
      </c>
      <c r="H28" t="n" s="5">
        <f>0.00</f>
        <v>0.0</v>
      </c>
      <c r="I28" t="n" s="5">
        <f>H28</f>
        <v>0.0</v>
      </c>
      <c r="J28" t="n" s="5">
        <f>0.00</f>
        <v>0.0</v>
      </c>
      <c r="K28" t="n" s="5">
        <f>J28</f>
        <v>0.0</v>
      </c>
      <c r="L28" t="n" s="5">
        <f>K28</f>
        <v>0.0</v>
      </c>
      <c r="M28" t="n" s="5">
        <f>L28</f>
        <v>0.0</v>
      </c>
    </row>
    <row r="29">
      <c r="A29" t="s" s="3">
        <v>35</v>
      </c>
      <c r="B29" t="n" s="5">
        <f>103713.80</f>
        <v>0.0</v>
      </c>
      <c r="C29" t="n" s="5">
        <f>94333.00</f>
        <v>0.0</v>
      </c>
      <c r="D29" t="n" s="5">
        <f>72148.40</f>
        <v>0.0</v>
      </c>
      <c r="E29" t="n" s="5">
        <f>93795.71</f>
        <v>0.0</v>
      </c>
      <c r="F29" t="n" s="5">
        <f>114191.15</f>
        <v>0.0</v>
      </c>
      <c r="G29" t="n" s="5">
        <f>114361.23</f>
        <v>0.0</v>
      </c>
      <c r="H29" t="n" s="5">
        <f>126461.96</f>
        <v>0.0</v>
      </c>
      <c r="I29" t="n" s="5">
        <f>139954.41</f>
        <v>0.0</v>
      </c>
      <c r="J29" t="n" s="5">
        <f>131274.42</f>
        <v>0.0</v>
      </c>
      <c r="K29" t="n" s="5">
        <f>104614.11</f>
        <v>0.0</v>
      </c>
      <c r="L29" t="n" s="5">
        <f>113803.60</f>
        <v>0.0</v>
      </c>
      <c r="M29" t="n" s="5">
        <f>114013.52</f>
        <v>0.0</v>
      </c>
    </row>
    <row r="30">
      <c r="A30" t="s" s="3">
        <v>36</v>
      </c>
      <c r="B30" t="n" s="5">
        <f>0.00</f>
        <v>0.0</v>
      </c>
      <c r="C30" t="n" s="5">
        <f>B30</f>
        <v>0.0</v>
      </c>
      <c r="D30" t="n" s="5">
        <f>C30</f>
        <v>0.0</v>
      </c>
      <c r="E30" t="n" s="5">
        <f>D30</f>
        <v>0.0</v>
      </c>
      <c r="F30" t="n" s="5">
        <f>E30</f>
        <v>0.0</v>
      </c>
      <c r="G30" t="n" s="5">
        <f>F30</f>
        <v>0.0</v>
      </c>
      <c r="H30" t="n" s="5">
        <f>G30</f>
        <v>0.0</v>
      </c>
      <c r="I30" t="n" s="5">
        <f>H30</f>
        <v>0.0</v>
      </c>
      <c r="J30" t="n" s="5">
        <f>I30</f>
        <v>0.0</v>
      </c>
      <c r="K30" t="n" s="5">
        <f>J30</f>
        <v>0.0</v>
      </c>
      <c r="L30" t="n" s="5">
        <f>K30</f>
        <v>0.0</v>
      </c>
      <c r="M30" t="n" s="5">
        <f>L30</f>
        <v>0.0</v>
      </c>
    </row>
    <row r="31">
      <c r="A31" t="s" s="3">
        <v>37</v>
      </c>
      <c r="B31" t="n" s="5">
        <f>0.00</f>
        <v>0.0</v>
      </c>
      <c r="C31" t="n" s="5">
        <f>B31</f>
        <v>0.0</v>
      </c>
      <c r="D31" t="n" s="5">
        <f>C31</f>
        <v>0.0</v>
      </c>
      <c r="E31" t="n" s="5">
        <f>0.00</f>
        <v>0.0</v>
      </c>
      <c r="F31" t="n" s="5">
        <f>E31</f>
        <v>0.0</v>
      </c>
      <c r="G31" t="n" s="5">
        <f>0.00</f>
        <v>0.0</v>
      </c>
      <c r="H31" t="n" s="5">
        <f>0.00</f>
        <v>0.0</v>
      </c>
      <c r="I31" t="n" s="5">
        <f>0.00</f>
        <v>0.0</v>
      </c>
      <c r="J31" t="n" s="5">
        <f>0.00</f>
        <v>0.0</v>
      </c>
      <c r="K31" t="n" s="5">
        <f>J31</f>
        <v>0.0</v>
      </c>
      <c r="L31" t="n" s="5">
        <f>K31</f>
        <v>0.0</v>
      </c>
      <c r="M31" t="n" s="5">
        <f>L31</f>
        <v>0.0</v>
      </c>
    </row>
    <row r="32">
      <c r="A32" t="s" s="3">
        <v>38</v>
      </c>
      <c r="B32" t="n" s="5">
        <f>0.00</f>
        <v>0.0</v>
      </c>
      <c r="C32" t="n" s="5">
        <f>B32</f>
        <v>0.0</v>
      </c>
      <c r="D32" t="n" s="5">
        <f>C32</f>
        <v>0.0</v>
      </c>
      <c r="E32" t="n" s="5">
        <f>D32</f>
        <v>0.0</v>
      </c>
      <c r="F32" t="n" s="5">
        <f>E32</f>
        <v>0.0</v>
      </c>
      <c r="G32" t="n" s="5">
        <f>F32</f>
        <v>0.0</v>
      </c>
      <c r="H32" t="n" s="5">
        <f>G32</f>
        <v>0.0</v>
      </c>
      <c r="I32" t="n" s="5">
        <f>H32</f>
        <v>0.0</v>
      </c>
      <c r="J32" t="n" s="5">
        <f>I32</f>
        <v>0.0</v>
      </c>
      <c r="K32" t="n" s="5">
        <f>J32</f>
        <v>0.0</v>
      </c>
      <c r="L32" t="n" s="5">
        <f>K32</f>
        <v>0.0</v>
      </c>
      <c r="M32" t="n" s="5">
        <f>L32</f>
        <v>0.0</v>
      </c>
    </row>
    <row r="33">
      <c r="A33" t="s" s="3">
        <v>39</v>
      </c>
      <c r="B33" t="n" s="6">
        <f>(((((((B25)+(B26))+(B27))+(B28))+(B29))+(B30))+(B31))+(B32)</f>
        <v>0.0</v>
      </c>
      <c r="C33" t="n" s="6">
        <f>(((((((C25)+(C26))+(C27))+(C28))+(C29))+(C30))+(C31))+(C32)</f>
        <v>0.0</v>
      </c>
      <c r="D33" t="n" s="6">
        <f>(((((((D25)+(D26))+(D27))+(D28))+(D29))+(D30))+(D31))+(D32)</f>
        <v>0.0</v>
      </c>
      <c r="E33" t="n" s="6">
        <f>(((((((E25)+(E26))+(E27))+(E28))+(E29))+(E30))+(E31))+(E32)</f>
        <v>0.0</v>
      </c>
      <c r="F33" t="n" s="6">
        <f>(((((((F25)+(F26))+(F27))+(F28))+(F29))+(F30))+(F31))+(F32)</f>
        <v>0.0</v>
      </c>
      <c r="G33" t="n" s="6">
        <f>(((((((G25)+(G26))+(G27))+(G28))+(G29))+(G30))+(G31))+(G32)</f>
        <v>0.0</v>
      </c>
      <c r="H33" t="n" s="6">
        <f>(((((((H25)+(H26))+(H27))+(H28))+(H29))+(H30))+(H31))+(H32)</f>
        <v>0.0</v>
      </c>
      <c r="I33" t="n" s="6">
        <f>(((((((I25)+(I26))+(I27))+(I28))+(I29))+(I30))+(I31))+(I32)</f>
        <v>0.0</v>
      </c>
      <c r="J33" t="n" s="6">
        <f>(((((((J25)+(J26))+(J27))+(J28))+(J29))+(J30))+(J31))+(J32)</f>
        <v>0.0</v>
      </c>
      <c r="K33" t="n" s="6">
        <f>(((((((K25)+(K26))+(K27))+(K28))+(K29))+(K30))+(K31))+(K32)</f>
        <v>0.0</v>
      </c>
      <c r="L33" t="n" s="6">
        <f>(((((((L25)+(L26))+(L27))+(L28))+(L29))+(L30))+(L31))+(L32)</f>
        <v>0.0</v>
      </c>
      <c r="M33" t="n" s="6">
        <f>(((((((M25)+(M26))+(M27))+(M28))+(M29))+(M30))+(M31))+(M32)</f>
        <v>0.0</v>
      </c>
    </row>
    <row r="34">
      <c r="A34" t="s" s="3">
        <v>40</v>
      </c>
      <c r="B34" t="n" s="5">
        <f>0.00</f>
        <v>0.0</v>
      </c>
      <c r="C34" t="n" s="5">
        <f>B34</f>
        <v>0.0</v>
      </c>
      <c r="D34" t="n" s="5">
        <f>C34</f>
        <v>0.0</v>
      </c>
      <c r="E34" t="n" s="5">
        <f>D34</f>
        <v>0.0</v>
      </c>
      <c r="F34" t="n" s="5">
        <f>E34</f>
        <v>0.0</v>
      </c>
      <c r="G34" t="n" s="5">
        <f>F34</f>
        <v>0.0</v>
      </c>
      <c r="H34" t="n" s="5">
        <f>G34</f>
        <v>0.0</v>
      </c>
      <c r="I34" t="n" s="5">
        <f>H34</f>
        <v>0.0</v>
      </c>
      <c r="J34" t="n" s="5">
        <f>I34</f>
        <v>0.0</v>
      </c>
      <c r="K34" t="n" s="5">
        <f>J34</f>
        <v>0.0</v>
      </c>
      <c r="L34" t="n" s="5">
        <f>K34</f>
        <v>0.0</v>
      </c>
      <c r="M34" t="n" s="5">
        <f>L34</f>
        <v>0.0</v>
      </c>
    </row>
    <row r="35">
      <c r="A35" t="s" s="3">
        <v>41</v>
      </c>
      <c r="B35" t="n" s="5">
        <f>0.00</f>
        <v>0.0</v>
      </c>
      <c r="C35" t="n" s="5">
        <f>B35</f>
        <v>0.0</v>
      </c>
      <c r="D35" t="n" s="5">
        <f>C35</f>
        <v>0.0</v>
      </c>
      <c r="E35" t="n" s="5">
        <f>D35</f>
        <v>0.0</v>
      </c>
      <c r="F35" t="n" s="5">
        <f>E35</f>
        <v>0.0</v>
      </c>
      <c r="G35" t="n" s="5">
        <f>F35</f>
        <v>0.0</v>
      </c>
      <c r="H35" t="n" s="5">
        <f>G35</f>
        <v>0.0</v>
      </c>
      <c r="I35" t="n" s="5">
        <f>H35</f>
        <v>0.0</v>
      </c>
      <c r="J35" t="n" s="5">
        <f>I35</f>
        <v>0.0</v>
      </c>
      <c r="K35" t="n" s="5">
        <f>J35</f>
        <v>0.0</v>
      </c>
      <c r="L35" t="n" s="5">
        <f>K35</f>
        <v>0.0</v>
      </c>
      <c r="M35" t="n" s="5">
        <f>L35</f>
        <v>0.0</v>
      </c>
    </row>
    <row r="36">
      <c r="A36" t="s" s="3">
        <v>42</v>
      </c>
      <c r="B36" t="n" s="5">
        <f>11725.68</f>
        <v>0.0</v>
      </c>
      <c r="C36" t="n" s="5">
        <f>10628.84</f>
        <v>0.0</v>
      </c>
      <c r="D36" t="n" s="5">
        <f>9510.02</f>
        <v>0.0</v>
      </c>
      <c r="E36" t="n" s="5">
        <f>8391.20</f>
        <v>0.0</v>
      </c>
      <c r="F36" t="n" s="5">
        <f>7272.38</f>
        <v>0.0</v>
      </c>
      <c r="G36" t="n" s="5">
        <f>6153.56</f>
        <v>0.0</v>
      </c>
      <c r="H36" t="n" s="5">
        <f>5034.74</f>
        <v>0.0</v>
      </c>
      <c r="I36" t="n" s="5">
        <f>6848.56</f>
        <v>0.0</v>
      </c>
      <c r="J36" t="n" s="5">
        <f>5726.88</f>
        <v>0.0</v>
      </c>
      <c r="K36" t="n" s="5">
        <f>4605.20</f>
        <v>0.0</v>
      </c>
      <c r="L36" t="n" s="5">
        <f>3483.52</f>
        <v>0.0</v>
      </c>
      <c r="M36" t="n" s="5">
        <f>3874.39</f>
        <v>0.0</v>
      </c>
    </row>
    <row r="37">
      <c r="A37" t="s" s="3">
        <v>43</v>
      </c>
      <c r="B37" t="n" s="5">
        <f>0.00</f>
        <v>0.0</v>
      </c>
      <c r="C37" t="n" s="5">
        <f>B37</f>
        <v>0.0</v>
      </c>
      <c r="D37" t="n" s="5">
        <f>C37</f>
        <v>0.0</v>
      </c>
      <c r="E37" t="n" s="5">
        <f>D37</f>
        <v>0.0</v>
      </c>
      <c r="F37" t="n" s="5">
        <f>E37</f>
        <v>0.0</v>
      </c>
      <c r="G37" t="n" s="5">
        <f>F37</f>
        <v>0.0</v>
      </c>
      <c r="H37" t="n" s="5">
        <f>G37</f>
        <v>0.0</v>
      </c>
      <c r="I37" t="n" s="5">
        <f>H37</f>
        <v>0.0</v>
      </c>
      <c r="J37" t="n" s="5">
        <f>I37</f>
        <v>0.0</v>
      </c>
      <c r="K37" t="n" s="5">
        <f>J37</f>
        <v>0.0</v>
      </c>
      <c r="L37" t="n" s="5">
        <f>K37</f>
        <v>0.0</v>
      </c>
      <c r="M37" t="n" s="5">
        <f>L37</f>
        <v>0.0</v>
      </c>
    </row>
    <row r="38">
      <c r="A38" t="s" s="3">
        <v>44</v>
      </c>
      <c r="B38" t="n" s="6">
        <f>(((((B24)+(B33))+(B34))+(B35))+(B36))+(B37)</f>
        <v>0.0</v>
      </c>
      <c r="C38" t="n" s="6">
        <f>(((((C24)+(C33))+(C34))+(C35))+(C36))+(C37)</f>
        <v>0.0</v>
      </c>
      <c r="D38" t="n" s="6">
        <f>(((((D24)+(D33))+(D34))+(D35))+(D36))+(D37)</f>
        <v>0.0</v>
      </c>
      <c r="E38" t="n" s="6">
        <f>(((((E24)+(E33))+(E34))+(E35))+(E36))+(E37)</f>
        <v>0.0</v>
      </c>
      <c r="F38" t="n" s="6">
        <f>(((((F24)+(F33))+(F34))+(F35))+(F36))+(F37)</f>
        <v>0.0</v>
      </c>
      <c r="G38" t="n" s="6">
        <f>(((((G24)+(G33))+(G34))+(G35))+(G36))+(G37)</f>
        <v>0.0</v>
      </c>
      <c r="H38" t="n" s="6">
        <f>(((((H24)+(H33))+(H34))+(H35))+(H36))+(H37)</f>
        <v>0.0</v>
      </c>
      <c r="I38" t="n" s="6">
        <f>(((((I24)+(I33))+(I34))+(I35))+(I36))+(I37)</f>
        <v>0.0</v>
      </c>
      <c r="J38" t="n" s="6">
        <f>(((((J24)+(J33))+(J34))+(J35))+(J36))+(J37)</f>
        <v>0.0</v>
      </c>
      <c r="K38" t="n" s="6">
        <f>(((((K24)+(K33))+(K34))+(K35))+(K36))+(K37)</f>
        <v>0.0</v>
      </c>
      <c r="L38" t="n" s="6">
        <f>(((((L24)+(L33))+(L34))+(L35))+(L36))+(L37)</f>
        <v>0.0</v>
      </c>
      <c r="M38" t="n" s="6">
        <f>(((((M24)+(M33))+(M34))+(M35))+(M36))+(M37)</f>
        <v>0.0</v>
      </c>
    </row>
    <row r="39">
      <c r="A39" t="s" s="3">
        <v>45</v>
      </c>
      <c r="B39" t="n" s="6">
        <f>((B15)+(B22))+(B38)</f>
        <v>0.0</v>
      </c>
      <c r="C39" t="n" s="6">
        <f>((C15)+(C22))+(C38)</f>
        <v>0.0</v>
      </c>
      <c r="D39" t="n" s="6">
        <f>((D15)+(D22))+(D38)</f>
        <v>0.0</v>
      </c>
      <c r="E39" t="n" s="6">
        <f>((E15)+(E22))+(E38)</f>
        <v>0.0</v>
      </c>
      <c r="F39" t="n" s="6">
        <f>((F15)+(F22))+(F38)</f>
        <v>0.0</v>
      </c>
      <c r="G39" t="n" s="6">
        <f>((G15)+(G22))+(G38)</f>
        <v>0.0</v>
      </c>
      <c r="H39" t="n" s="6">
        <f>((H15)+(H22))+(H38)</f>
        <v>0.0</v>
      </c>
      <c r="I39" t="n" s="6">
        <f>((I15)+(I22))+(I38)</f>
        <v>0.0</v>
      </c>
      <c r="J39" t="n" s="6">
        <f>((J15)+(J22))+(J38)</f>
        <v>0.0</v>
      </c>
      <c r="K39" t="n" s="6">
        <f>((K15)+(K22))+(K38)</f>
        <v>0.0</v>
      </c>
      <c r="L39" t="n" s="6">
        <f>((L15)+(L22))+(L38)</f>
        <v>0.0</v>
      </c>
      <c r="M39" t="n" s="6">
        <f>((M15)+(M22))+(M38)</f>
        <v>0.0</v>
      </c>
    </row>
    <row r="40">
      <c r="A40" t="s" s="3">
        <v>46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t="s" s="3">
        <v>47</v>
      </c>
      <c r="B41" t="n" s="5">
        <f>0.00</f>
        <v>0.0</v>
      </c>
      <c r="C41" t="n" s="5">
        <f>B41</f>
        <v>0.0</v>
      </c>
      <c r="D41" t="n" s="5">
        <f>C41</f>
        <v>0.0</v>
      </c>
      <c r="E41" t="n" s="5">
        <f>D41</f>
        <v>0.0</v>
      </c>
      <c r="F41" t="n" s="5">
        <f>E41</f>
        <v>0.0</v>
      </c>
      <c r="G41" t="n" s="5">
        <f>F41</f>
        <v>0.0</v>
      </c>
      <c r="H41" t="n" s="5">
        <f>G41</f>
        <v>0.0</v>
      </c>
      <c r="I41" t="n" s="5">
        <f>H41</f>
        <v>0.0</v>
      </c>
      <c r="J41" t="n" s="5">
        <f>I41</f>
        <v>0.0</v>
      </c>
      <c r="K41" t="n" s="5">
        <f>J41</f>
        <v>0.0</v>
      </c>
      <c r="L41" t="n" s="5">
        <f>K41</f>
        <v>0.0</v>
      </c>
      <c r="M41" t="n" s="5">
        <f>L41</f>
        <v>0.0</v>
      </c>
    </row>
    <row r="42">
      <c r="A42" t="s" s="3">
        <v>48</v>
      </c>
      <c r="B42" t="n" s="5">
        <f>0.00</f>
        <v>0.0</v>
      </c>
      <c r="C42" t="n" s="5">
        <f>B42</f>
        <v>0.0</v>
      </c>
      <c r="D42" t="n" s="5">
        <f>C42</f>
        <v>0.0</v>
      </c>
      <c r="E42" t="n" s="5">
        <f>D42</f>
        <v>0.0</v>
      </c>
      <c r="F42" t="n" s="5">
        <f>E42</f>
        <v>0.0</v>
      </c>
      <c r="G42" t="n" s="5">
        <f>F42</f>
        <v>0.0</v>
      </c>
      <c r="H42" t="n" s="5">
        <f>G42</f>
        <v>0.0</v>
      </c>
      <c r="I42" t="n" s="5">
        <f>H42</f>
        <v>0.0</v>
      </c>
      <c r="J42" t="n" s="5">
        <f>I42</f>
        <v>0.0</v>
      </c>
      <c r="K42" t="n" s="5">
        <f>J42</f>
        <v>0.0</v>
      </c>
      <c r="L42" t="n" s="5">
        <f>K42</f>
        <v>0.0</v>
      </c>
      <c r="M42" t="n" s="5">
        <f>L42</f>
        <v>0.0</v>
      </c>
    </row>
    <row r="43">
      <c r="A43" t="s" s="3">
        <v>49</v>
      </c>
      <c r="B43" t="n" s="5">
        <f>0.00</f>
        <v>0.0</v>
      </c>
      <c r="C43" t="n" s="5">
        <f>B43</f>
        <v>0.0</v>
      </c>
      <c r="D43" t="n" s="5">
        <f>C43</f>
        <v>0.0</v>
      </c>
      <c r="E43" t="n" s="5">
        <f>D43</f>
        <v>0.0</v>
      </c>
      <c r="F43" t="n" s="5">
        <f>E43</f>
        <v>0.0</v>
      </c>
      <c r="G43" t="n" s="5">
        <f>F43</f>
        <v>0.0</v>
      </c>
      <c r="H43" t="n" s="5">
        <f>G43</f>
        <v>0.0</v>
      </c>
      <c r="I43" t="n" s="5">
        <f>H43</f>
        <v>0.0</v>
      </c>
      <c r="J43" t="n" s="5">
        <f>I43</f>
        <v>0.0</v>
      </c>
      <c r="K43" t="n" s="5">
        <f>J43</f>
        <v>0.0</v>
      </c>
      <c r="L43" t="n" s="5">
        <f>K43</f>
        <v>0.0</v>
      </c>
      <c r="M43" t="n" s="5">
        <f>L43</f>
        <v>0.0</v>
      </c>
    </row>
    <row r="44">
      <c r="A44" t="s" s="3">
        <v>50</v>
      </c>
      <c r="B44" t="n" s="5">
        <f>1326.79</f>
        <v>0.0</v>
      </c>
      <c r="C44" t="n" s="5">
        <f>B44</f>
        <v>0.0</v>
      </c>
      <c r="D44" t="n" s="5">
        <f>C44</f>
        <v>0.0</v>
      </c>
      <c r="E44" t="n" s="5">
        <f>D44</f>
        <v>0.0</v>
      </c>
      <c r="F44" t="n" s="5">
        <f>E44</f>
        <v>0.0</v>
      </c>
      <c r="G44" t="n" s="5">
        <f>F44</f>
        <v>0.0</v>
      </c>
      <c r="H44" t="n" s="5">
        <f>G44</f>
        <v>0.0</v>
      </c>
      <c r="I44" t="n" s="5">
        <f>H44</f>
        <v>0.0</v>
      </c>
      <c r="J44" t="n" s="5">
        <f>I44</f>
        <v>0.0</v>
      </c>
      <c r="K44" t="n" s="5">
        <f>J44</f>
        <v>0.0</v>
      </c>
      <c r="L44" t="n" s="5">
        <f>K44</f>
        <v>0.0</v>
      </c>
      <c r="M44" t="n" s="5">
        <f>L44</f>
        <v>0.0</v>
      </c>
    </row>
    <row r="45">
      <c r="A45" t="s" s="3">
        <v>51</v>
      </c>
      <c r="B45" t="n" s="5">
        <f>-469.88</f>
        <v>0.0</v>
      </c>
      <c r="C45" t="n" s="5">
        <f>-497.52</f>
        <v>0.0</v>
      </c>
      <c r="D45" t="n" s="5">
        <f>-525.16</f>
        <v>0.0</v>
      </c>
      <c r="E45" t="n" s="5">
        <f>-552.80</f>
        <v>0.0</v>
      </c>
      <c r="F45" t="n" s="5">
        <f>-580.44</f>
        <v>0.0</v>
      </c>
      <c r="G45" t="n" s="5">
        <f>-608.08</f>
        <v>0.0</v>
      </c>
      <c r="H45" t="n" s="5">
        <f>-635.72</f>
        <v>0.0</v>
      </c>
      <c r="I45" t="n" s="5">
        <f>-663.36</f>
        <v>0.0</v>
      </c>
      <c r="J45" t="n" s="5">
        <f>-691.00</f>
        <v>0.0</v>
      </c>
      <c r="K45" t="n" s="5">
        <f>-718.64</f>
        <v>0.0</v>
      </c>
      <c r="L45" t="n" s="5">
        <f>-746.28</f>
        <v>0.0</v>
      </c>
      <c r="M45" t="n" s="5">
        <f>-773.92</f>
        <v>0.0</v>
      </c>
    </row>
    <row r="46">
      <c r="A46" t="s" s="3">
        <v>52</v>
      </c>
      <c r="B46" t="n" s="6">
        <f>((((B41)+(B42))+(B43))+(B44))+(B45)</f>
        <v>0.0</v>
      </c>
      <c r="C46" t="n" s="6">
        <f>((((C41)+(C42))+(C43))+(C44))+(C45)</f>
        <v>0.0</v>
      </c>
      <c r="D46" t="n" s="6">
        <f>((((D41)+(D42))+(D43))+(D44))+(D45)</f>
        <v>0.0</v>
      </c>
      <c r="E46" t="n" s="6">
        <f>((((E41)+(E42))+(E43))+(E44))+(E45)</f>
        <v>0.0</v>
      </c>
      <c r="F46" t="n" s="6">
        <f>((((F41)+(F42))+(F43))+(F44))+(F45)</f>
        <v>0.0</v>
      </c>
      <c r="G46" t="n" s="6">
        <f>((((G41)+(G42))+(G43))+(G44))+(G45)</f>
        <v>0.0</v>
      </c>
      <c r="H46" t="n" s="6">
        <f>((((H41)+(H42))+(H43))+(H44))+(H45)</f>
        <v>0.0</v>
      </c>
      <c r="I46" t="n" s="6">
        <f>((((I41)+(I42))+(I43))+(I44))+(I45)</f>
        <v>0.0</v>
      </c>
      <c r="J46" t="n" s="6">
        <f>((((J41)+(J42))+(J43))+(J44))+(J45)</f>
        <v>0.0</v>
      </c>
      <c r="K46" t="n" s="6">
        <f>((((K41)+(K42))+(K43))+(K44))+(K45)</f>
        <v>0.0</v>
      </c>
      <c r="L46" t="n" s="6">
        <f>((((L41)+(L42))+(L43))+(L44))+(L45)</f>
        <v>0.0</v>
      </c>
      <c r="M46" t="n" s="6">
        <f>((((M41)+(M42))+(M43))+(M44))+(M45)</f>
        <v>0.0</v>
      </c>
    </row>
    <row r="47">
      <c r="A47" t="s" s="3">
        <v>53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t="s" s="3">
        <v>54</v>
      </c>
      <c r="B48" t="n" s="5">
        <f>1000.00</f>
        <v>0.0</v>
      </c>
      <c r="C48" t="n" s="5">
        <f>B48</f>
        <v>0.0</v>
      </c>
      <c r="D48" t="n" s="5">
        <f>C48</f>
        <v>0.0</v>
      </c>
      <c r="E48" t="n" s="5">
        <f>D48</f>
        <v>0.0</v>
      </c>
      <c r="F48" t="n" s="5">
        <f>E48</f>
        <v>0.0</v>
      </c>
      <c r="G48" t="n" s="5">
        <f>F48</f>
        <v>0.0</v>
      </c>
      <c r="H48" t="n" s="5">
        <f>G48</f>
        <v>0.0</v>
      </c>
      <c r="I48" t="n" s="5">
        <f>H48</f>
        <v>0.0</v>
      </c>
      <c r="J48" t="n" s="5">
        <f>I48</f>
        <v>0.0</v>
      </c>
      <c r="K48" t="n" s="5">
        <f>J48</f>
        <v>0.0</v>
      </c>
      <c r="L48" t="n" s="5">
        <f>K48</f>
        <v>0.0</v>
      </c>
      <c r="M48" t="n" s="5">
        <f>L48</f>
        <v>0.0</v>
      </c>
    </row>
    <row r="49">
      <c r="A49" t="s" s="3">
        <v>55</v>
      </c>
      <c r="B49" t="n" s="6">
        <f>B48</f>
        <v>0.0</v>
      </c>
      <c r="C49" t="n" s="6">
        <f>C48</f>
        <v>0.0</v>
      </c>
      <c r="D49" t="n" s="6">
        <f>D48</f>
        <v>0.0</v>
      </c>
      <c r="E49" t="n" s="6">
        <f>E48</f>
        <v>0.0</v>
      </c>
      <c r="F49" t="n" s="6">
        <f>F48</f>
        <v>0.0</v>
      </c>
      <c r="G49" t="n" s="6">
        <f>G48</f>
        <v>0.0</v>
      </c>
      <c r="H49" t="n" s="6">
        <f>H48</f>
        <v>0.0</v>
      </c>
      <c r="I49" t="n" s="6">
        <f>I48</f>
        <v>0.0</v>
      </c>
      <c r="J49" t="n" s="6">
        <f>J48</f>
        <v>0.0</v>
      </c>
      <c r="K49" t="n" s="6">
        <f>K48</f>
        <v>0.0</v>
      </c>
      <c r="L49" t="n" s="6">
        <f>L48</f>
        <v>0.0</v>
      </c>
      <c r="M49" t="n" s="6">
        <f>M48</f>
        <v>0.0</v>
      </c>
    </row>
    <row r="50">
      <c r="A50" t="s" s="3">
        <v>56</v>
      </c>
      <c r="B50" t="n" s="7">
        <f>((B39)+(B46))+(B49)</f>
        <v>0.0</v>
      </c>
      <c r="C50" t="n" s="7">
        <f>((C39)+(C46))+(C49)</f>
        <v>0.0</v>
      </c>
      <c r="D50" t="n" s="7">
        <f>((D39)+(D46))+(D49)</f>
        <v>0.0</v>
      </c>
      <c r="E50" t="n" s="7">
        <f>((E39)+(E46))+(E49)</f>
        <v>0.0</v>
      </c>
      <c r="F50" t="n" s="7">
        <f>((F39)+(F46))+(F49)</f>
        <v>0.0</v>
      </c>
      <c r="G50" t="n" s="7">
        <f>((G39)+(G46))+(G49)</f>
        <v>0.0</v>
      </c>
      <c r="H50" t="n" s="7">
        <f>((H39)+(H46))+(H49)</f>
        <v>0.0</v>
      </c>
      <c r="I50" t="n" s="7">
        <f>((I39)+(I46))+(I49)</f>
        <v>0.0</v>
      </c>
      <c r="J50" t="n" s="7">
        <f>((J39)+(J46))+(J49)</f>
        <v>0.0</v>
      </c>
      <c r="K50" t="n" s="7">
        <f>((K39)+(K46))+(K49)</f>
        <v>0.0</v>
      </c>
      <c r="L50" t="n" s="7">
        <f>((L39)+(L46))+(L49)</f>
        <v>0.0</v>
      </c>
      <c r="M50" t="n" s="7">
        <f>((M39)+(M46))+(M49)</f>
        <v>0.0</v>
      </c>
    </row>
    <row r="51">
      <c r="A51" t="s" s="3">
        <v>57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>
      <c r="A52" t="s" s="3">
        <v>58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A53" t="s" s="3">
        <v>59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>
      <c r="A54" t="s" s="3">
        <v>60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A55" t="s" s="3">
        <v>61</v>
      </c>
      <c r="B55" t="n" s="5">
        <f>-25480.00</f>
        <v>0.0</v>
      </c>
      <c r="C55" t="n" s="5">
        <f>150.00</f>
        <v>0.0</v>
      </c>
      <c r="D55" t="n" s="5">
        <f>223.02</f>
        <v>0.0</v>
      </c>
      <c r="E55" t="n" s="5">
        <f>150.30</f>
        <v>0.0</v>
      </c>
      <c r="F55" t="n" s="5">
        <f>2770.00</f>
        <v>0.0</v>
      </c>
      <c r="G55" t="n" s="5">
        <f>160.00</f>
        <v>0.0</v>
      </c>
      <c r="H55" t="n" s="5">
        <f>160.00</f>
        <v>0.0</v>
      </c>
      <c r="I55" t="n" s="5">
        <f>38206.69</f>
        <v>0.0</v>
      </c>
      <c r="J55" t="n" s="5">
        <f>126.50</f>
        <v>0.0</v>
      </c>
      <c r="K55" t="n" s="5">
        <f>-185.50</f>
        <v>0.0</v>
      </c>
      <c r="L55" t="n" s="5">
        <f>-185.50</f>
        <v>0.0</v>
      </c>
      <c r="M55" t="n" s="5">
        <f>1733.20</f>
        <v>0.0</v>
      </c>
    </row>
    <row r="56">
      <c r="A56" t="s" s="3">
        <v>62</v>
      </c>
      <c r="B56" t="n" s="5">
        <f>0.00</f>
        <v>0.0</v>
      </c>
      <c r="C56" t="n" s="5">
        <f>B56</f>
        <v>0.0</v>
      </c>
      <c r="D56" t="n" s="5">
        <f>C56</f>
        <v>0.0</v>
      </c>
      <c r="E56" t="n" s="5">
        <f>D56</f>
        <v>0.0</v>
      </c>
      <c r="F56" t="n" s="5">
        <f>E56</f>
        <v>0.0</v>
      </c>
      <c r="G56" t="n" s="5">
        <f>F56</f>
        <v>0.0</v>
      </c>
      <c r="H56" t="n" s="5">
        <f>G56</f>
        <v>0.0</v>
      </c>
      <c r="I56" t="n" s="5">
        <f>H56</f>
        <v>0.0</v>
      </c>
      <c r="J56" t="n" s="5">
        <f>I56</f>
        <v>0.0</v>
      </c>
      <c r="K56" t="n" s="5">
        <f>J56</f>
        <v>0.0</v>
      </c>
      <c r="L56" t="n" s="5">
        <f>K56</f>
        <v>0.0</v>
      </c>
      <c r="M56" t="n" s="5">
        <f>L56</f>
        <v>0.0</v>
      </c>
    </row>
    <row r="57">
      <c r="A57" t="s" s="3">
        <v>63</v>
      </c>
      <c r="B57" t="n" s="5">
        <f>0.00</f>
        <v>0.0</v>
      </c>
      <c r="C57" t="n" s="5">
        <f>B57</f>
        <v>0.0</v>
      </c>
      <c r="D57" t="n" s="5">
        <f>C57</f>
        <v>0.0</v>
      </c>
      <c r="E57" t="n" s="5">
        <f>D57</f>
        <v>0.0</v>
      </c>
      <c r="F57" t="n" s="5">
        <f>E57</f>
        <v>0.0</v>
      </c>
      <c r="G57" t="n" s="5">
        <f>F57</f>
        <v>0.0</v>
      </c>
      <c r="H57" t="n" s="5">
        <f>G57</f>
        <v>0.0</v>
      </c>
      <c r="I57" t="n" s="5">
        <f>H57</f>
        <v>0.0</v>
      </c>
      <c r="J57" t="n" s="5">
        <f>I57</f>
        <v>0.0</v>
      </c>
      <c r="K57" t="n" s="5">
        <f>J57</f>
        <v>0.0</v>
      </c>
      <c r="L57" t="n" s="5">
        <f>K57</f>
        <v>0.0</v>
      </c>
      <c r="M57" t="n" s="5">
        <f>L57</f>
        <v>0.0</v>
      </c>
    </row>
    <row r="58">
      <c r="A58" t="s" s="3">
        <v>64</v>
      </c>
      <c r="B58" t="n" s="6">
        <f>((B55)+(B56))+(B57)</f>
        <v>0.0</v>
      </c>
      <c r="C58" t="n" s="6">
        <f>((C55)+(C56))+(C57)</f>
        <v>0.0</v>
      </c>
      <c r="D58" t="n" s="6">
        <f>((D55)+(D56))+(D57)</f>
        <v>0.0</v>
      </c>
      <c r="E58" t="n" s="6">
        <f>((E55)+(E56))+(E57)</f>
        <v>0.0</v>
      </c>
      <c r="F58" t="n" s="6">
        <f>((F55)+(F56))+(F57)</f>
        <v>0.0</v>
      </c>
      <c r="G58" t="n" s="6">
        <f>((G55)+(G56))+(G57)</f>
        <v>0.0</v>
      </c>
      <c r="H58" t="n" s="6">
        <f>((H55)+(H56))+(H57)</f>
        <v>0.0</v>
      </c>
      <c r="I58" t="n" s="6">
        <f>((I55)+(I56))+(I57)</f>
        <v>0.0</v>
      </c>
      <c r="J58" t="n" s="6">
        <f>((J55)+(J56))+(J57)</f>
        <v>0.0</v>
      </c>
      <c r="K58" t="n" s="6">
        <f>((K55)+(K56))+(K57)</f>
        <v>0.0</v>
      </c>
      <c r="L58" t="n" s="6">
        <f>((L55)+(L56))+(L57)</f>
        <v>0.0</v>
      </c>
      <c r="M58" t="n" s="6">
        <f>((M55)+(M56))+(M57)</f>
        <v>0.0</v>
      </c>
    </row>
    <row r="59">
      <c r="A59" t="s" s="3">
        <v>65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>
      <c r="A60" t="s" s="3">
        <v>66</v>
      </c>
      <c r="B60" t="n" s="5">
        <f>32035.50</f>
        <v>0.0</v>
      </c>
      <c r="C60" t="n" s="5">
        <f>28330.50</f>
        <v>0.0</v>
      </c>
      <c r="D60" t="n" s="5">
        <f>12812.50</f>
        <v>0.0</v>
      </c>
      <c r="E60" t="n" s="5">
        <f>133365.50</f>
        <v>0.0</v>
      </c>
      <c r="F60" t="n" s="5">
        <f>0.00</f>
        <v>0.0</v>
      </c>
      <c r="G60" t="n" s="5">
        <f>0.00</f>
        <v>0.0</v>
      </c>
      <c r="H60" t="n" s="5">
        <f>5325.00</f>
        <v>0.0</v>
      </c>
      <c r="I60" t="n" s="5">
        <f>23451.75</f>
        <v>0.0</v>
      </c>
      <c r="J60" t="n" s="5">
        <f>1350.00</f>
        <v>0.0</v>
      </c>
      <c r="K60" t="n" s="5">
        <f>1400.00</f>
        <v>0.0</v>
      </c>
      <c r="L60" t="n" s="5">
        <f>21283.75</f>
        <v>0.0</v>
      </c>
      <c r="M60" t="n" s="5">
        <f>43337.17</f>
        <v>0.0</v>
      </c>
    </row>
    <row r="61">
      <c r="A61" t="s" s="3">
        <v>67</v>
      </c>
      <c r="B61" t="n" s="5">
        <f>101835.88</f>
        <v>0.0</v>
      </c>
      <c r="C61" t="n" s="5">
        <f>94807.83</f>
        <v>0.0</v>
      </c>
      <c r="D61" t="n" s="5">
        <f>90542.16</f>
        <v>0.0</v>
      </c>
      <c r="E61" t="n" s="5">
        <f>82898.29</f>
        <v>0.0</v>
      </c>
      <c r="F61" t="n" s="5">
        <f>75878.59</f>
        <v>0.0</v>
      </c>
      <c r="G61" t="n" s="5">
        <f>87546.39</f>
        <v>0.0</v>
      </c>
      <c r="H61" t="n" s="5">
        <f>81561.27</f>
        <v>0.0</v>
      </c>
      <c r="I61" t="n" s="5">
        <f>73810.32</f>
        <v>0.0</v>
      </c>
      <c r="J61" t="n" s="5">
        <f>69810.41</f>
        <v>0.0</v>
      </c>
      <c r="K61" t="n" s="5">
        <f>60867.79</f>
        <v>0.0</v>
      </c>
      <c r="L61" t="n" s="5">
        <f>51925.17</f>
        <v>0.0</v>
      </c>
      <c r="M61" t="n" s="5">
        <f>50232.26</f>
        <v>0.0</v>
      </c>
    </row>
    <row r="62">
      <c r="A62" t="s" s="3">
        <v>68</v>
      </c>
      <c r="B62" t="n" s="5">
        <f>9141.98</f>
        <v>0.0</v>
      </c>
      <c r="C62" t="n" s="5">
        <f>11427.47</f>
        <v>0.0</v>
      </c>
      <c r="D62" t="n" s="5">
        <f>14235.90</f>
        <v>0.0</v>
      </c>
      <c r="E62" t="n" s="5">
        <f>4570.98</f>
        <v>0.0</v>
      </c>
      <c r="F62" t="n" s="5">
        <f>5713.73</f>
        <v>0.0</v>
      </c>
      <c r="G62" t="n" s="5">
        <f>7999.22</f>
        <v>0.0</v>
      </c>
      <c r="H62" t="n" s="5">
        <f>11760.62</f>
        <v>0.0</v>
      </c>
      <c r="I62" t="n" s="5">
        <f>11945.17</f>
        <v>0.0</v>
      </c>
      <c r="J62" t="n" s="5">
        <f>12829.07</f>
        <v>0.0</v>
      </c>
      <c r="K62" t="n" s="5">
        <f>3687.10</f>
        <v>0.0</v>
      </c>
      <c r="L62" t="n" s="5">
        <f>0.00</f>
        <v>0.0</v>
      </c>
      <c r="M62" t="n" s="5">
        <f>L62</f>
        <v>0.0</v>
      </c>
    </row>
    <row r="63">
      <c r="A63" t="s" s="3">
        <v>69</v>
      </c>
      <c r="B63" t="n" s="5">
        <f>0.00</f>
        <v>0.0</v>
      </c>
      <c r="C63" t="n" s="5">
        <f>B63</f>
        <v>0.0</v>
      </c>
      <c r="D63" t="n" s="5">
        <f>C63</f>
        <v>0.0</v>
      </c>
      <c r="E63" t="n" s="5">
        <f>D63</f>
        <v>0.0</v>
      </c>
      <c r="F63" t="n" s="5">
        <f>E63</f>
        <v>0.0</v>
      </c>
      <c r="G63" t="n" s="5">
        <f>F63</f>
        <v>0.0</v>
      </c>
      <c r="H63" t="n" s="5">
        <f>G63</f>
        <v>0.0</v>
      </c>
      <c r="I63" t="n" s="5">
        <f>H63</f>
        <v>0.0</v>
      </c>
      <c r="J63" t="n" s="5">
        <f>I63</f>
        <v>0.0</v>
      </c>
      <c r="K63" t="n" s="5">
        <f>J63</f>
        <v>0.0</v>
      </c>
      <c r="L63" t="n" s="5">
        <f>K63</f>
        <v>0.0</v>
      </c>
      <c r="M63" t="n" s="5">
        <f>L63</f>
        <v>0.0</v>
      </c>
    </row>
    <row r="64">
      <c r="A64" t="s" s="3">
        <v>70</v>
      </c>
      <c r="B64" t="n" s="5">
        <f>0.00</f>
        <v>0.0</v>
      </c>
      <c r="C64" t="n" s="5">
        <f>B64</f>
        <v>0.0</v>
      </c>
      <c r="D64" t="n" s="5">
        <f>C64</f>
        <v>0.0</v>
      </c>
      <c r="E64" t="n" s="5">
        <f>D64</f>
        <v>0.0</v>
      </c>
      <c r="F64" t="n" s="5">
        <f>E64</f>
        <v>0.0</v>
      </c>
      <c r="G64" t="n" s="5">
        <f>F64</f>
        <v>0.0</v>
      </c>
      <c r="H64" t="n" s="5">
        <f>G64</f>
        <v>0.0</v>
      </c>
      <c r="I64" t="n" s="5">
        <f>H64</f>
        <v>0.0</v>
      </c>
      <c r="J64" t="n" s="5">
        <f>I64</f>
        <v>0.0</v>
      </c>
      <c r="K64" t="n" s="5">
        <f>J64</f>
        <v>0.0</v>
      </c>
      <c r="L64" t="n" s="5">
        <f>K64</f>
        <v>0.0</v>
      </c>
      <c r="M64" t="n" s="5">
        <f>L64</f>
        <v>0.0</v>
      </c>
    </row>
    <row r="65">
      <c r="A65" t="s" s="3">
        <v>71</v>
      </c>
      <c r="B65" t="n" s="5">
        <f>0.00</f>
        <v>0.0</v>
      </c>
      <c r="C65" t="n" s="5">
        <f>0.00</f>
        <v>0.0</v>
      </c>
      <c r="D65" t="n" s="5">
        <f>0.00</f>
        <v>0.0</v>
      </c>
      <c r="E65" t="n" s="5">
        <f>0.00</f>
        <v>0.0</v>
      </c>
      <c r="F65" t="n" s="5">
        <f>E65</f>
        <v>0.0</v>
      </c>
      <c r="G65" t="n" s="5">
        <f>F65</f>
        <v>0.0</v>
      </c>
      <c r="H65" t="n" s="5">
        <f>G65</f>
        <v>0.0</v>
      </c>
      <c r="I65" t="n" s="5">
        <f>H65</f>
        <v>0.0</v>
      </c>
      <c r="J65" t="n" s="5">
        <f>I65</f>
        <v>0.0</v>
      </c>
      <c r="K65" t="n" s="5">
        <f>J65</f>
        <v>0.0</v>
      </c>
      <c r="L65" t="n" s="5">
        <f>K65</f>
        <v>0.0</v>
      </c>
      <c r="M65" t="n" s="5">
        <f>L65</f>
        <v>0.0</v>
      </c>
    </row>
    <row r="66">
      <c r="A66" t="s" s="3">
        <v>72</v>
      </c>
      <c r="B66" t="n" s="5">
        <f>0.00</f>
        <v>0.0</v>
      </c>
      <c r="C66" t="n" s="5">
        <f>B66</f>
        <v>0.0</v>
      </c>
      <c r="D66" t="n" s="5">
        <f>C66</f>
        <v>0.0</v>
      </c>
      <c r="E66" t="n" s="5">
        <f>D66</f>
        <v>0.0</v>
      </c>
      <c r="F66" t="n" s="5">
        <f>E66</f>
        <v>0.0</v>
      </c>
      <c r="G66" t="n" s="5">
        <f>F66</f>
        <v>0.0</v>
      </c>
      <c r="H66" t="n" s="5">
        <f>G66</f>
        <v>0.0</v>
      </c>
      <c r="I66" t="n" s="5">
        <f>H66</f>
        <v>0.0</v>
      </c>
      <c r="J66" t="n" s="5">
        <f>I66</f>
        <v>0.0</v>
      </c>
      <c r="K66" t="n" s="5">
        <f>J66</f>
        <v>0.0</v>
      </c>
      <c r="L66" t="n" s="5">
        <f>K66</f>
        <v>0.0</v>
      </c>
      <c r="M66" t="n" s="5">
        <f>L66</f>
        <v>0.0</v>
      </c>
    </row>
    <row r="67">
      <c r="A67" t="s" s="3">
        <v>73</v>
      </c>
      <c r="B67" t="n" s="5">
        <f>0.00</f>
        <v>0.0</v>
      </c>
      <c r="C67" t="n" s="5">
        <f>0.00</f>
        <v>0.0</v>
      </c>
      <c r="D67" t="n" s="5">
        <f>0.00</f>
        <v>0.0</v>
      </c>
      <c r="E67" t="n" s="5">
        <f>0.00</f>
        <v>0.0</v>
      </c>
      <c r="F67" t="n" s="5">
        <f>E67</f>
        <v>0.0</v>
      </c>
      <c r="G67" t="n" s="5">
        <f>F67</f>
        <v>0.0</v>
      </c>
      <c r="H67" t="n" s="5">
        <f>G67</f>
        <v>0.0</v>
      </c>
      <c r="I67" t="n" s="5">
        <f>H67</f>
        <v>0.0</v>
      </c>
      <c r="J67" t="n" s="5">
        <f>I67</f>
        <v>0.0</v>
      </c>
      <c r="K67" t="n" s="5">
        <f>J67</f>
        <v>0.0</v>
      </c>
      <c r="L67" t="n" s="5">
        <f>K67</f>
        <v>0.0</v>
      </c>
      <c r="M67" t="n" s="5">
        <f>L67</f>
        <v>0.0</v>
      </c>
    </row>
    <row r="68">
      <c r="A68" t="s" s="3">
        <v>74</v>
      </c>
      <c r="B68" t="n" s="5">
        <f>0.00</f>
        <v>0.0</v>
      </c>
      <c r="C68" t="n" s="5">
        <f>B68</f>
        <v>0.0</v>
      </c>
      <c r="D68" t="n" s="5">
        <f>C68</f>
        <v>0.0</v>
      </c>
      <c r="E68" t="n" s="5">
        <f>D68</f>
        <v>0.0</v>
      </c>
      <c r="F68" t="n" s="5">
        <f>E68</f>
        <v>0.0</v>
      </c>
      <c r="G68" t="n" s="5">
        <f>F68</f>
        <v>0.0</v>
      </c>
      <c r="H68" t="n" s="5">
        <f>G68</f>
        <v>0.0</v>
      </c>
      <c r="I68" t="n" s="5">
        <f>H68</f>
        <v>0.0</v>
      </c>
      <c r="J68" t="n" s="5">
        <f>I68</f>
        <v>0.0</v>
      </c>
      <c r="K68" t="n" s="5">
        <f>J68</f>
        <v>0.0</v>
      </c>
      <c r="L68" t="n" s="5">
        <f>K68</f>
        <v>0.0</v>
      </c>
      <c r="M68" t="n" s="5">
        <f>L68</f>
        <v>0.0</v>
      </c>
    </row>
    <row r="69">
      <c r="A69" t="s" s="3">
        <v>75</v>
      </c>
      <c r="B69" t="n" s="5">
        <f>0.00</f>
        <v>0.0</v>
      </c>
      <c r="C69" t="n" s="5">
        <f>B69</f>
        <v>0.0</v>
      </c>
      <c r="D69" t="n" s="5">
        <f>C69</f>
        <v>0.0</v>
      </c>
      <c r="E69" t="n" s="5">
        <f>D69</f>
        <v>0.0</v>
      </c>
      <c r="F69" t="n" s="5">
        <f>E69</f>
        <v>0.0</v>
      </c>
      <c r="G69" t="n" s="5">
        <f>F69</f>
        <v>0.0</v>
      </c>
      <c r="H69" t="n" s="5">
        <f>G69</f>
        <v>0.0</v>
      </c>
      <c r="I69" t="n" s="5">
        <f>H69</f>
        <v>0.0</v>
      </c>
      <c r="J69" t="n" s="5">
        <f>I69</f>
        <v>0.0</v>
      </c>
      <c r="K69" t="n" s="5">
        <f>J69</f>
        <v>0.0</v>
      </c>
      <c r="L69" t="n" s="5">
        <f>K69</f>
        <v>0.0</v>
      </c>
      <c r="M69" t="n" s="5">
        <f>L69</f>
        <v>0.0</v>
      </c>
    </row>
    <row r="70">
      <c r="A70" t="s" s="3">
        <v>76</v>
      </c>
      <c r="B70" t="n" s="5">
        <f>0.00</f>
        <v>0.0</v>
      </c>
      <c r="C70" t="n" s="5">
        <f>B70</f>
        <v>0.0</v>
      </c>
      <c r="D70" t="n" s="5">
        <f>C70</f>
        <v>0.0</v>
      </c>
      <c r="E70" t="n" s="5">
        <f>D70</f>
        <v>0.0</v>
      </c>
      <c r="F70" t="n" s="5">
        <f>E70</f>
        <v>0.0</v>
      </c>
      <c r="G70" t="n" s="5">
        <f>F70</f>
        <v>0.0</v>
      </c>
      <c r="H70" t="n" s="5">
        <f>G70</f>
        <v>0.0</v>
      </c>
      <c r="I70" t="n" s="5">
        <f>H70</f>
        <v>0.0</v>
      </c>
      <c r="J70" t="n" s="5">
        <f>I70</f>
        <v>0.0</v>
      </c>
      <c r="K70" t="n" s="5">
        <f>J70</f>
        <v>0.0</v>
      </c>
      <c r="L70" t="n" s="5">
        <f>K70</f>
        <v>0.0</v>
      </c>
      <c r="M70" t="n" s="5">
        <f>L70</f>
        <v>0.0</v>
      </c>
    </row>
    <row r="71">
      <c r="A71" t="s" s="3">
        <v>77</v>
      </c>
      <c r="B71" t="n" s="5">
        <f>0.00</f>
        <v>0.0</v>
      </c>
      <c r="C71" t="n" s="5">
        <f>0.00</f>
        <v>0.0</v>
      </c>
      <c r="D71" t="n" s="5">
        <f>0.00</f>
        <v>0.0</v>
      </c>
      <c r="E71" t="n" s="5">
        <f>0.00</f>
        <v>0.0</v>
      </c>
      <c r="F71" t="n" s="5">
        <f>E71</f>
        <v>0.0</v>
      </c>
      <c r="G71" t="n" s="5">
        <f>F71</f>
        <v>0.0</v>
      </c>
      <c r="H71" t="n" s="5">
        <f>G71</f>
        <v>0.0</v>
      </c>
      <c r="I71" t="n" s="5">
        <f>H71</f>
        <v>0.0</v>
      </c>
      <c r="J71" t="n" s="5">
        <f>I71</f>
        <v>0.0</v>
      </c>
      <c r="K71" t="n" s="5">
        <f>J71</f>
        <v>0.0</v>
      </c>
      <c r="L71" t="n" s="5">
        <f>K71</f>
        <v>0.0</v>
      </c>
      <c r="M71" t="n" s="5">
        <f>L71</f>
        <v>0.0</v>
      </c>
    </row>
    <row r="72">
      <c r="A72" t="s" s="3">
        <v>78</v>
      </c>
      <c r="B72" t="n" s="5">
        <f>-336.13</f>
        <v>0.0</v>
      </c>
      <c r="C72" t="n" s="5">
        <f>B72</f>
        <v>0.0</v>
      </c>
      <c r="D72" t="n" s="5">
        <f>C72</f>
        <v>0.0</v>
      </c>
      <c r="E72" t="n" s="5">
        <f>D72</f>
        <v>0.0</v>
      </c>
      <c r="F72" t="n" s="5">
        <f>E72</f>
        <v>0.0</v>
      </c>
      <c r="G72" t="n" s="5">
        <f>F72</f>
        <v>0.0</v>
      </c>
      <c r="H72" t="n" s="5">
        <f>G72</f>
        <v>0.0</v>
      </c>
      <c r="I72" t="n" s="5">
        <f>H72</f>
        <v>0.0</v>
      </c>
      <c r="J72" t="n" s="5">
        <f>I72</f>
        <v>0.0</v>
      </c>
      <c r="K72" t="n" s="5">
        <f>J72</f>
        <v>0.0</v>
      </c>
      <c r="L72" t="n" s="5">
        <f>K72</f>
        <v>0.0</v>
      </c>
      <c r="M72" t="n" s="5">
        <f>0.00</f>
        <v>0.0</v>
      </c>
    </row>
    <row r="73">
      <c r="A73" t="s" s="3">
        <v>79</v>
      </c>
      <c r="B73" t="n" s="5">
        <f>0.00</f>
        <v>0.0</v>
      </c>
      <c r="C73" t="n" s="5">
        <f>B73</f>
        <v>0.0</v>
      </c>
      <c r="D73" t="n" s="5">
        <f>C73</f>
        <v>0.0</v>
      </c>
      <c r="E73" t="n" s="5">
        <f>D73</f>
        <v>0.0</v>
      </c>
      <c r="F73" t="n" s="5">
        <f>E73</f>
        <v>0.0</v>
      </c>
      <c r="G73" t="n" s="5">
        <f>F73</f>
        <v>0.0</v>
      </c>
      <c r="H73" t="n" s="5">
        <f>G73</f>
        <v>0.0</v>
      </c>
      <c r="I73" t="n" s="5">
        <f>H73</f>
        <v>0.0</v>
      </c>
      <c r="J73" t="n" s="5">
        <f>I73</f>
        <v>0.0</v>
      </c>
      <c r="K73" t="n" s="5">
        <f>J73</f>
        <v>0.0</v>
      </c>
      <c r="L73" t="n" s="5">
        <f>K73</f>
        <v>0.0</v>
      </c>
      <c r="M73" t="n" s="5">
        <f>L73</f>
        <v>0.0</v>
      </c>
    </row>
    <row r="74">
      <c r="A74" t="s" s="3">
        <v>80</v>
      </c>
      <c r="B74" t="n" s="5">
        <f>0.00</f>
        <v>0.0</v>
      </c>
      <c r="C74" t="n" s="5">
        <f>0.00</f>
        <v>0.0</v>
      </c>
      <c r="D74" t="n" s="5">
        <f>0.00</f>
        <v>0.0</v>
      </c>
      <c r="E74" t="n" s="5">
        <f>3558.95</f>
        <v>0.0</v>
      </c>
      <c r="F74" t="n" s="5">
        <f>3558.95</f>
        <v>0.0</v>
      </c>
      <c r="G74" t="n" s="5">
        <f>0.00</f>
        <v>0.0</v>
      </c>
      <c r="H74" t="n" s="5">
        <f>-168.00</f>
        <v>0.0</v>
      </c>
      <c r="I74" t="n" s="5">
        <f>-168.00</f>
        <v>0.0</v>
      </c>
      <c r="J74" t="n" s="5">
        <f>-168.00</f>
        <v>0.0</v>
      </c>
      <c r="K74" t="n" s="5">
        <f>-168.00</f>
        <v>0.0</v>
      </c>
      <c r="L74" t="n" s="5">
        <f>-168.00</f>
        <v>0.0</v>
      </c>
      <c r="M74" t="n" s="5">
        <f>0.00</f>
        <v>0.0</v>
      </c>
    </row>
    <row r="75">
      <c r="A75" t="s" s="3">
        <v>81</v>
      </c>
      <c r="B75" t="n" s="5">
        <f>0.00</f>
        <v>0.0</v>
      </c>
      <c r="C75" t="n" s="5">
        <f>0.00</f>
        <v>0.0</v>
      </c>
      <c r="D75" t="n" s="5">
        <f>0.00</f>
        <v>0.0</v>
      </c>
      <c r="E75" t="n" s="5">
        <f>0.00</f>
        <v>0.0</v>
      </c>
      <c r="F75" t="n" s="5">
        <f>0.00</f>
        <v>0.0</v>
      </c>
      <c r="G75" t="n" s="5">
        <f>0.00</f>
        <v>0.0</v>
      </c>
      <c r="H75" t="n" s="5">
        <f>0.00</f>
        <v>0.0</v>
      </c>
      <c r="I75" t="n" s="5">
        <f>0.00</f>
        <v>0.0</v>
      </c>
      <c r="J75" t="n" s="5">
        <f>0.00</f>
        <v>0.0</v>
      </c>
      <c r="K75" t="n" s="5">
        <f>0.00</f>
        <v>0.0</v>
      </c>
      <c r="L75" t="n" s="5">
        <f>0.00</f>
        <v>0.0</v>
      </c>
      <c r="M75" t="n" s="5">
        <f>0.00</f>
        <v>0.0</v>
      </c>
    </row>
    <row r="76">
      <c r="A76" t="s" s="3">
        <v>82</v>
      </c>
      <c r="B76" t="n" s="5">
        <f>0.00</f>
        <v>0.0</v>
      </c>
      <c r="C76" t="n" s="5">
        <f>B76</f>
        <v>0.0</v>
      </c>
      <c r="D76" t="n" s="5">
        <f>C76</f>
        <v>0.0</v>
      </c>
      <c r="E76" t="n" s="5">
        <f>D76</f>
        <v>0.0</v>
      </c>
      <c r="F76" t="n" s="5">
        <f>E76</f>
        <v>0.0</v>
      </c>
      <c r="G76" t="n" s="5">
        <f>F76</f>
        <v>0.0</v>
      </c>
      <c r="H76" t="n" s="5">
        <f>G76</f>
        <v>0.0</v>
      </c>
      <c r="I76" t="n" s="5">
        <f>H76</f>
        <v>0.0</v>
      </c>
      <c r="J76" t="n" s="5">
        <f>I76</f>
        <v>0.0</v>
      </c>
      <c r="K76" t="n" s="5">
        <f>J76</f>
        <v>0.0</v>
      </c>
      <c r="L76" t="n" s="5">
        <f>K76</f>
        <v>0.0</v>
      </c>
      <c r="M76" t="n" s="5">
        <f>L76</f>
        <v>0.0</v>
      </c>
    </row>
    <row r="77">
      <c r="A77" t="s" s="3">
        <v>83</v>
      </c>
      <c r="B77" t="n" s="5">
        <f>0.00</f>
        <v>0.0</v>
      </c>
      <c r="C77" t="n" s="5">
        <f>0.00</f>
        <v>0.0</v>
      </c>
      <c r="D77" t="n" s="5">
        <f>0.00</f>
        <v>0.0</v>
      </c>
      <c r="E77" t="n" s="5">
        <f>0.00</f>
        <v>0.0</v>
      </c>
      <c r="F77" t="n" s="5">
        <f>0.00</f>
        <v>0.0</v>
      </c>
      <c r="G77" t="n" s="5">
        <f>0.00</f>
        <v>0.0</v>
      </c>
      <c r="H77" t="n" s="5">
        <f>0.00</f>
        <v>0.0</v>
      </c>
      <c r="I77" t="n" s="5">
        <f>0.00</f>
        <v>0.0</v>
      </c>
      <c r="J77" t="n" s="5">
        <f>0.00</f>
        <v>0.0</v>
      </c>
      <c r="K77" t="n" s="5">
        <f>0.00</f>
        <v>0.0</v>
      </c>
      <c r="L77" t="n" s="5">
        <f>0.00</f>
        <v>0.0</v>
      </c>
      <c r="M77" t="n" s="5">
        <f>0.00</f>
        <v>0.0</v>
      </c>
    </row>
    <row r="78">
      <c r="A78" t="s" s="3">
        <v>84</v>
      </c>
      <c r="B78" t="n" s="5">
        <f>7387.74</f>
        <v>0.0</v>
      </c>
      <c r="C78" t="n" s="5">
        <f>7881.46</f>
        <v>0.0</v>
      </c>
      <c r="D78" t="n" s="5">
        <f>7139.79</f>
        <v>0.0</v>
      </c>
      <c r="E78" t="n" s="5">
        <f>10384.23</f>
        <v>0.0</v>
      </c>
      <c r="F78" t="n" s="5">
        <f>12730.33</f>
        <v>0.0</v>
      </c>
      <c r="G78" t="n" s="5">
        <f>15077.11</f>
        <v>0.0</v>
      </c>
      <c r="H78" t="n" s="5">
        <f>32096.15</f>
        <v>0.0</v>
      </c>
      <c r="I78" t="n" s="5">
        <f>34780.44</f>
        <v>0.0</v>
      </c>
      <c r="J78" t="n" s="5">
        <f>39830.70</f>
        <v>0.0</v>
      </c>
      <c r="K78" t="n" s="5">
        <f>45471.16</f>
        <v>0.0</v>
      </c>
      <c r="L78" t="n" s="5">
        <f>56494.01</f>
        <v>0.0</v>
      </c>
      <c r="M78" t="n" s="5">
        <f>64794.75</f>
        <v>0.0</v>
      </c>
    </row>
    <row r="79">
      <c r="A79" t="s" s="3">
        <v>85</v>
      </c>
      <c r="B79" t="n" s="5">
        <f>0.00</f>
        <v>0.0</v>
      </c>
      <c r="C79" t="n" s="5">
        <f>1547.32</f>
        <v>0.0</v>
      </c>
      <c r="D79" t="n" s="5">
        <f>417.95</f>
        <v>0.0</v>
      </c>
      <c r="E79" t="n" s="5">
        <f>5271.06</f>
        <v>0.0</v>
      </c>
      <c r="F79" t="n" s="5">
        <f>2064.35</f>
        <v>0.0</v>
      </c>
      <c r="G79" t="n" s="5">
        <f>12677.50</f>
        <v>0.0</v>
      </c>
      <c r="H79" t="n" s="5">
        <f>1254.46</f>
        <v>0.0</v>
      </c>
      <c r="I79" t="n" s="5">
        <f>4357.58</f>
        <v>0.0</v>
      </c>
      <c r="J79" t="n" s="5">
        <f>480.01</f>
        <v>0.0</v>
      </c>
      <c r="K79" t="n" s="5">
        <f>0.00</f>
        <v>0.0</v>
      </c>
      <c r="L79" t="n" s="5">
        <f>K79</f>
        <v>0.0</v>
      </c>
      <c r="M79" t="n" s="5">
        <f>1575.27</f>
        <v>0.0</v>
      </c>
    </row>
    <row r="80">
      <c r="A80" t="s" s="3">
        <v>86</v>
      </c>
      <c r="B80" t="n" s="5">
        <f>2118.44</f>
        <v>0.0</v>
      </c>
      <c r="C80" t="n" s="5">
        <f>0.00</f>
        <v>0.0</v>
      </c>
      <c r="D80" t="n" s="5">
        <f>C80</f>
        <v>0.0</v>
      </c>
      <c r="E80" t="n" s="5">
        <f>D80</f>
        <v>0.0</v>
      </c>
      <c r="F80" t="n" s="5">
        <f>E80</f>
        <v>0.0</v>
      </c>
      <c r="G80" t="n" s="5">
        <f>F80</f>
        <v>0.0</v>
      </c>
      <c r="H80" t="n" s="5">
        <f>G80</f>
        <v>0.0</v>
      </c>
      <c r="I80" t="n" s="5">
        <f>H80</f>
        <v>0.0</v>
      </c>
      <c r="J80" t="n" s="5">
        <f>I80</f>
        <v>0.0</v>
      </c>
      <c r="K80" t="n" s="5">
        <f>J80</f>
        <v>0.0</v>
      </c>
      <c r="L80" t="n" s="5">
        <f>K80</f>
        <v>0.0</v>
      </c>
      <c r="M80" t="n" s="5">
        <f>L80</f>
        <v>0.0</v>
      </c>
    </row>
    <row r="81">
      <c r="A81" t="s" s="3">
        <v>87</v>
      </c>
      <c r="B81" s="4"/>
      <c r="C81" t="n" s="5">
        <f>B81</f>
        <v>0.0</v>
      </c>
      <c r="D81" t="n" s="5">
        <f>C81</f>
        <v>0.0</v>
      </c>
      <c r="E81" t="n" s="5">
        <f>D81</f>
        <v>0.0</v>
      </c>
      <c r="F81" t="n" s="5">
        <f>E81</f>
        <v>0.0</v>
      </c>
      <c r="G81" t="n" s="5">
        <f>0.00</f>
        <v>0.0</v>
      </c>
      <c r="H81" t="n" s="5">
        <f>0.00</f>
        <v>0.0</v>
      </c>
      <c r="I81" t="n" s="5">
        <f>0.00</f>
        <v>0.0</v>
      </c>
      <c r="J81" t="n" s="5">
        <f>0.00</f>
        <v>0.0</v>
      </c>
      <c r="K81" t="n" s="5">
        <f>0.00</f>
        <v>0.0</v>
      </c>
      <c r="L81" t="n" s="5">
        <f>0.00</f>
        <v>0.0</v>
      </c>
      <c r="M81" t="n" s="5">
        <f>0.00</f>
        <v>0.0</v>
      </c>
    </row>
    <row r="82">
      <c r="A82" t="s" s="3">
        <v>88</v>
      </c>
      <c r="B82" t="n" s="6">
        <f>(((((((((((((((((((B62)+(B63))+(B64))+(B65))+(B66))+(B67))+(B68))+(B69))+(B70))+(B71))+(B72))+(B73))+(B74))+(B75))+(B76))+(B77))+(B78))+(B79))+(B80))+(B81)</f>
        <v>0.0</v>
      </c>
      <c r="C82" t="n" s="6">
        <f>(((((((((((((((((((C62)+(C63))+(C64))+(C65))+(C66))+(C67))+(C68))+(C69))+(C70))+(C71))+(C72))+(C73))+(C74))+(C75))+(C76))+(C77))+(C78))+(C79))+(C80))+(C81)</f>
        <v>0.0</v>
      </c>
      <c r="D82" t="n" s="6">
        <f>(((((((((((((((((((D62)+(D63))+(D64))+(D65))+(D66))+(D67))+(D68))+(D69))+(D70))+(D71))+(D72))+(D73))+(D74))+(D75))+(D76))+(D77))+(D78))+(D79))+(D80))+(D81)</f>
        <v>0.0</v>
      </c>
      <c r="E82" t="n" s="6">
        <f>(((((((((((((((((((E62)+(E63))+(E64))+(E65))+(E66))+(E67))+(E68))+(E69))+(E70))+(E71))+(E72))+(E73))+(E74))+(E75))+(E76))+(E77))+(E78))+(E79))+(E80))+(E81)</f>
        <v>0.0</v>
      </c>
      <c r="F82" t="n" s="6">
        <f>(((((((((((((((((((F62)+(F63))+(F64))+(F65))+(F66))+(F67))+(F68))+(F69))+(F70))+(F71))+(F72))+(F73))+(F74))+(F75))+(F76))+(F77))+(F78))+(F79))+(F80))+(F81)</f>
        <v>0.0</v>
      </c>
      <c r="G82" t="n" s="6">
        <f>(((((((((((((((((((G62)+(G63))+(G64))+(G65))+(G66))+(G67))+(G68))+(G69))+(G70))+(G71))+(G72))+(G73))+(G74))+(G75))+(G76))+(G77))+(G78))+(G79))+(G80))+(G81)</f>
        <v>0.0</v>
      </c>
      <c r="H82" t="n" s="6">
        <f>(((((((((((((((((((H62)+(H63))+(H64))+(H65))+(H66))+(H67))+(H68))+(H69))+(H70))+(H71))+(H72))+(H73))+(H74))+(H75))+(H76))+(H77))+(H78))+(H79))+(H80))+(H81)</f>
        <v>0.0</v>
      </c>
      <c r="I82" t="n" s="6">
        <f>(((((((((((((((((((I62)+(I63))+(I64))+(I65))+(I66))+(I67))+(I68))+(I69))+(I70))+(I71))+(I72))+(I73))+(I74))+(I75))+(I76))+(I77))+(I78))+(I79))+(I80))+(I81)</f>
        <v>0.0</v>
      </c>
      <c r="J82" t="n" s="6">
        <f>(((((((((((((((((((J62)+(J63))+(J64))+(J65))+(J66))+(J67))+(J68))+(J69))+(J70))+(J71))+(J72))+(J73))+(J74))+(J75))+(J76))+(J77))+(J78))+(J79))+(J80))+(J81)</f>
        <v>0.0</v>
      </c>
      <c r="K82" t="n" s="6">
        <f>(((((((((((((((((((K62)+(K63))+(K64))+(K65))+(K66))+(K67))+(K68))+(K69))+(K70))+(K71))+(K72))+(K73))+(K74))+(K75))+(K76))+(K77))+(K78))+(K79))+(K80))+(K81)</f>
        <v>0.0</v>
      </c>
      <c r="L82" t="n" s="6">
        <f>(((((((((((((((((((L62)+(L63))+(L64))+(L65))+(L66))+(L67))+(L68))+(L69))+(L70))+(L71))+(L72))+(L73))+(L74))+(L75))+(L76))+(L77))+(L78))+(L79))+(L80))+(L81)</f>
        <v>0.0</v>
      </c>
      <c r="M82" t="n" s="6">
        <f>(((((((((((((((((((M62)+(M63))+(M64))+(M65))+(M66))+(M67))+(M68))+(M69))+(M70))+(M71))+(M72))+(M73))+(M74))+(M75))+(M76))+(M77))+(M78))+(M79))+(M80))+(M81)</f>
        <v>0.0</v>
      </c>
    </row>
    <row r="83">
      <c r="A83" t="s" s="3">
        <v>89</v>
      </c>
      <c r="B83" t="n" s="5">
        <f>0.00</f>
        <v>0.0</v>
      </c>
      <c r="C83" t="n" s="5">
        <f>B83</f>
        <v>0.0</v>
      </c>
      <c r="D83" t="n" s="5">
        <f>C83</f>
        <v>0.0</v>
      </c>
      <c r="E83" t="n" s="5">
        <f>D83</f>
        <v>0.0</v>
      </c>
      <c r="F83" t="n" s="5">
        <f>E83</f>
        <v>0.0</v>
      </c>
      <c r="G83" t="n" s="5">
        <f>F83</f>
        <v>0.0</v>
      </c>
      <c r="H83" t="n" s="5">
        <f>G83</f>
        <v>0.0</v>
      </c>
      <c r="I83" t="n" s="5">
        <f>H83</f>
        <v>0.0</v>
      </c>
      <c r="J83" t="n" s="5">
        <f>I83</f>
        <v>0.0</v>
      </c>
      <c r="K83" t="n" s="5">
        <f>J83</f>
        <v>0.0</v>
      </c>
      <c r="L83" t="n" s="5">
        <f>K83</f>
        <v>0.0</v>
      </c>
      <c r="M83" t="n" s="5">
        <f>L83</f>
        <v>0.0</v>
      </c>
    </row>
    <row r="84">
      <c r="A84" t="s" s="3">
        <v>90</v>
      </c>
      <c r="B84" t="n" s="5">
        <f>0.00</f>
        <v>0.0</v>
      </c>
      <c r="C84" t="n" s="5">
        <f>0.00</f>
        <v>0.0</v>
      </c>
      <c r="D84" t="n" s="5">
        <f>0.00</f>
        <v>0.0</v>
      </c>
      <c r="E84" t="n" s="5">
        <f>0.00</f>
        <v>0.0</v>
      </c>
      <c r="F84" t="n" s="5">
        <f>E84</f>
        <v>0.0</v>
      </c>
      <c r="G84" t="n" s="5">
        <f>0.00</f>
        <v>0.0</v>
      </c>
      <c r="H84" t="n" s="5">
        <f>G84</f>
        <v>0.0</v>
      </c>
      <c r="I84" t="n" s="5">
        <f>647.50</f>
        <v>0.0</v>
      </c>
      <c r="J84" t="n" s="5">
        <f>647.50</f>
        <v>0.0</v>
      </c>
      <c r="K84" t="n" s="5">
        <f>0.00</f>
        <v>0.0</v>
      </c>
      <c r="L84" t="n" s="5">
        <f>0.00</f>
        <v>0.0</v>
      </c>
      <c r="M84" t="n" s="5">
        <f>0.00</f>
        <v>0.0</v>
      </c>
    </row>
    <row r="85">
      <c r="A85" t="s" s="3">
        <v>91</v>
      </c>
      <c r="B85" s="4"/>
      <c r="C85" t="n" s="5">
        <f>B85</f>
        <v>0.0</v>
      </c>
      <c r="D85" t="n" s="5">
        <f>C85</f>
        <v>0.0</v>
      </c>
      <c r="E85" t="n" s="5">
        <f>D85</f>
        <v>0.0</v>
      </c>
      <c r="F85" t="n" s="5">
        <f>E85</f>
        <v>0.0</v>
      </c>
      <c r="G85" t="n" s="5">
        <f>F85</f>
        <v>0.0</v>
      </c>
      <c r="H85" t="n" s="5">
        <f>0.00</f>
        <v>0.0</v>
      </c>
      <c r="I85" t="n" s="5">
        <f>0.00</f>
        <v>0.0</v>
      </c>
      <c r="J85" t="n" s="5">
        <f>I85</f>
        <v>0.0</v>
      </c>
      <c r="K85" t="n" s="5">
        <f>J85</f>
        <v>0.0</v>
      </c>
      <c r="L85" t="n" s="5">
        <f>K85</f>
        <v>0.0</v>
      </c>
      <c r="M85" t="n" s="5">
        <f>L85</f>
        <v>0.0</v>
      </c>
    </row>
    <row r="86">
      <c r="A86" t="s" s="3">
        <v>92</v>
      </c>
      <c r="B86" t="n" s="5">
        <f>0.00</f>
        <v>0.0</v>
      </c>
      <c r="C86" t="n" s="5">
        <f>B86</f>
        <v>0.0</v>
      </c>
      <c r="D86" t="n" s="5">
        <f>C86</f>
        <v>0.0</v>
      </c>
      <c r="E86" t="n" s="5">
        <f>D86</f>
        <v>0.0</v>
      </c>
      <c r="F86" t="n" s="5">
        <f>E86</f>
        <v>0.0</v>
      </c>
      <c r="G86" t="n" s="5">
        <f>F86</f>
        <v>0.0</v>
      </c>
      <c r="H86" t="n" s="5">
        <f>G86</f>
        <v>0.0</v>
      </c>
      <c r="I86" t="n" s="5">
        <f>H86</f>
        <v>0.0</v>
      </c>
      <c r="J86" t="n" s="5">
        <f>I86</f>
        <v>0.0</v>
      </c>
      <c r="K86" t="n" s="5">
        <f>J86</f>
        <v>0.0</v>
      </c>
      <c r="L86" t="n" s="5">
        <f>K86</f>
        <v>0.0</v>
      </c>
      <c r="M86" t="n" s="5">
        <f>L86</f>
        <v>0.0</v>
      </c>
    </row>
    <row r="87">
      <c r="A87" t="s" s="3">
        <v>93</v>
      </c>
      <c r="B87" t="n" s="5">
        <f>0.00</f>
        <v>0.0</v>
      </c>
      <c r="C87" t="n" s="5">
        <f>5497.31</f>
        <v>0.0</v>
      </c>
      <c r="D87" t="n" s="5">
        <f>40.13</f>
        <v>0.0</v>
      </c>
      <c r="E87" t="n" s="5">
        <f>0.00</f>
        <v>0.0</v>
      </c>
      <c r="F87" t="n" s="5">
        <f>E87</f>
        <v>0.0</v>
      </c>
      <c r="G87" t="n" s="5">
        <f>0.00</f>
        <v>0.0</v>
      </c>
      <c r="H87" t="n" s="5">
        <f>G87</f>
        <v>0.0</v>
      </c>
      <c r="I87" t="n" s="5">
        <f>H87</f>
        <v>0.0</v>
      </c>
      <c r="J87" t="n" s="5">
        <f>I87</f>
        <v>0.0</v>
      </c>
      <c r="K87" t="n" s="5">
        <f>J87</f>
        <v>0.0</v>
      </c>
      <c r="L87" t="n" s="5">
        <f>K87</f>
        <v>0.0</v>
      </c>
      <c r="M87" t="n" s="5">
        <f>L87</f>
        <v>0.0</v>
      </c>
    </row>
    <row r="88">
      <c r="A88" t="s" s="3">
        <v>94</v>
      </c>
      <c r="B88" t="n" s="5">
        <f>0.00</f>
        <v>0.0</v>
      </c>
      <c r="C88" t="n" s="5">
        <f>B88</f>
        <v>0.0</v>
      </c>
      <c r="D88" t="n" s="5">
        <f>0.00</f>
        <v>0.0</v>
      </c>
      <c r="E88" t="n" s="5">
        <f>0.00</f>
        <v>0.0</v>
      </c>
      <c r="F88" t="n" s="5">
        <f>0.00</f>
        <v>0.0</v>
      </c>
      <c r="G88" t="n" s="5">
        <f>F88</f>
        <v>0.0</v>
      </c>
      <c r="H88" t="n" s="5">
        <f>G88</f>
        <v>0.0</v>
      </c>
      <c r="I88" t="n" s="5">
        <f>0.00</f>
        <v>0.0</v>
      </c>
      <c r="J88" t="n" s="5">
        <f>I88</f>
        <v>0.0</v>
      </c>
      <c r="K88" t="n" s="5">
        <f>-2374.02</f>
        <v>0.0</v>
      </c>
      <c r="L88" t="n" s="5">
        <f>0.00</f>
        <v>0.0</v>
      </c>
      <c r="M88" t="n" s="5">
        <f>L88</f>
        <v>0.0</v>
      </c>
    </row>
    <row r="89">
      <c r="A89" t="s" s="3">
        <v>95</v>
      </c>
      <c r="B89" t="n" s="5">
        <f>0.00</f>
        <v>0.0</v>
      </c>
      <c r="C89" t="n" s="5">
        <f>0.00</f>
        <v>0.0</v>
      </c>
      <c r="D89" t="n" s="5">
        <f>C89</f>
        <v>0.0</v>
      </c>
      <c r="E89" t="n" s="5">
        <f>0.00</f>
        <v>0.0</v>
      </c>
      <c r="F89" t="n" s="5">
        <f>E89</f>
        <v>0.0</v>
      </c>
      <c r="G89" t="n" s="5">
        <f>F89</f>
        <v>0.0</v>
      </c>
      <c r="H89" t="n" s="5">
        <f>0.00</f>
        <v>0.0</v>
      </c>
      <c r="I89" t="n" s="5">
        <f>H89</f>
        <v>0.0</v>
      </c>
      <c r="J89" t="n" s="5">
        <f>I89</f>
        <v>0.0</v>
      </c>
      <c r="K89" t="n" s="5">
        <f>J89</f>
        <v>0.0</v>
      </c>
      <c r="L89" t="n" s="5">
        <f>K89</f>
        <v>0.0</v>
      </c>
      <c r="M89" t="n" s="5">
        <f>0.00</f>
        <v>0.0</v>
      </c>
    </row>
    <row r="90">
      <c r="A90" t="s" s="3">
        <v>96</v>
      </c>
      <c r="B90" t="n" s="5">
        <f>0.00</f>
        <v>0.0</v>
      </c>
      <c r="C90" t="n" s="5">
        <f>B90</f>
        <v>0.0</v>
      </c>
      <c r="D90" t="n" s="5">
        <f>C90</f>
        <v>0.0</v>
      </c>
      <c r="E90" t="n" s="5">
        <f>D90</f>
        <v>0.0</v>
      </c>
      <c r="F90" t="n" s="5">
        <f>E90</f>
        <v>0.0</v>
      </c>
      <c r="G90" t="n" s="5">
        <f>F90</f>
        <v>0.0</v>
      </c>
      <c r="H90" t="n" s="5">
        <f>G90</f>
        <v>0.0</v>
      </c>
      <c r="I90" t="n" s="5">
        <f>H90</f>
        <v>0.0</v>
      </c>
      <c r="J90" t="n" s="5">
        <f>I90</f>
        <v>0.0</v>
      </c>
      <c r="K90" t="n" s="5">
        <f>J90</f>
        <v>0.0</v>
      </c>
      <c r="L90" t="n" s="5">
        <f>K90</f>
        <v>0.0</v>
      </c>
      <c r="M90" t="n" s="5">
        <f>L90</f>
        <v>0.0</v>
      </c>
    </row>
    <row r="91">
      <c r="A91" t="s" s="3">
        <v>97</v>
      </c>
      <c r="B91" t="n" s="5">
        <f>0.00</f>
        <v>0.0</v>
      </c>
      <c r="C91" t="n" s="5">
        <f>B91</f>
        <v>0.0</v>
      </c>
      <c r="D91" t="n" s="5">
        <f>C91</f>
        <v>0.0</v>
      </c>
      <c r="E91" t="n" s="5">
        <f>D91</f>
        <v>0.0</v>
      </c>
      <c r="F91" t="n" s="5">
        <f>E91</f>
        <v>0.0</v>
      </c>
      <c r="G91" t="n" s="5">
        <f>F91</f>
        <v>0.0</v>
      </c>
      <c r="H91" t="n" s="5">
        <f>G91</f>
        <v>0.0</v>
      </c>
      <c r="I91" t="n" s="5">
        <f>H91</f>
        <v>0.0</v>
      </c>
      <c r="J91" t="n" s="5">
        <f>I91</f>
        <v>0.0</v>
      </c>
      <c r="K91" t="n" s="5">
        <f>J91</f>
        <v>0.0</v>
      </c>
      <c r="L91" t="n" s="5">
        <f>K91</f>
        <v>0.0</v>
      </c>
      <c r="M91" t="n" s="5">
        <f>L91</f>
        <v>0.0</v>
      </c>
    </row>
    <row r="92">
      <c r="A92" t="s" s="3">
        <v>98</v>
      </c>
      <c r="B92" t="n" s="5">
        <f>1525.29</f>
        <v>0.0</v>
      </c>
      <c r="C92" t="n" s="5">
        <f>B92</f>
        <v>0.0</v>
      </c>
      <c r="D92" t="n" s="5">
        <f>C92</f>
        <v>0.0</v>
      </c>
      <c r="E92" t="n" s="5">
        <f>1525.29</f>
        <v>0.0</v>
      </c>
      <c r="F92" t="n" s="5">
        <f>E92</f>
        <v>0.0</v>
      </c>
      <c r="G92" t="n" s="5">
        <f>1525.29</f>
        <v>0.0</v>
      </c>
      <c r="H92" t="n" s="5">
        <f>1525.29</f>
        <v>0.0</v>
      </c>
      <c r="I92" t="n" s="5">
        <f>1525.29</f>
        <v>0.0</v>
      </c>
      <c r="J92" t="n" s="5">
        <f>1525.29</f>
        <v>0.0</v>
      </c>
      <c r="K92" t="n" s="5">
        <f>J92</f>
        <v>0.0</v>
      </c>
      <c r="L92" t="n" s="5">
        <f>K92</f>
        <v>0.0</v>
      </c>
      <c r="M92" t="n" s="5">
        <f>L92</f>
        <v>0.0</v>
      </c>
    </row>
    <row r="93">
      <c r="A93" t="s" s="3">
        <v>99</v>
      </c>
      <c r="B93" t="n" s="5">
        <f>0.00</f>
        <v>0.0</v>
      </c>
      <c r="C93" t="n" s="5">
        <f>0.00</f>
        <v>0.0</v>
      </c>
      <c r="D93" t="n" s="5">
        <f>0.00</f>
        <v>0.0</v>
      </c>
      <c r="E93" t="n" s="5">
        <f>D93</f>
        <v>0.0</v>
      </c>
      <c r="F93" t="n" s="5">
        <f>783.00</f>
        <v>0.0</v>
      </c>
      <c r="G93" t="n" s="5">
        <f>783.00</f>
        <v>0.0</v>
      </c>
      <c r="H93" t="n" s="5">
        <f>G93</f>
        <v>0.0</v>
      </c>
      <c r="I93" t="n" s="5">
        <f>0.00</f>
        <v>0.0</v>
      </c>
      <c r="J93" t="n" s="5">
        <f>0.00</f>
        <v>0.0</v>
      </c>
      <c r="K93" t="n" s="5">
        <f>1366.88</f>
        <v>0.0</v>
      </c>
      <c r="L93" t="n" s="5">
        <f>3016.37</f>
        <v>0.0</v>
      </c>
      <c r="M93" t="n" s="5">
        <f>3389.05</f>
        <v>0.0</v>
      </c>
    </row>
    <row r="94">
      <c r="A94" t="s" s="3">
        <v>100</v>
      </c>
      <c r="B94" t="n" s="5">
        <f>282.36</f>
        <v>0.0</v>
      </c>
      <c r="C94" t="n" s="5">
        <f>B94</f>
        <v>0.0</v>
      </c>
      <c r="D94" t="n" s="5">
        <f>282.36</f>
        <v>0.0</v>
      </c>
      <c r="E94" t="n" s="5">
        <f>282.36</f>
        <v>0.0</v>
      </c>
      <c r="F94" t="n" s="5">
        <f>E94</f>
        <v>0.0</v>
      </c>
      <c r="G94" t="n" s="5">
        <f>282.36</f>
        <v>0.0</v>
      </c>
      <c r="H94" t="n" s="5">
        <f>G94</f>
        <v>0.0</v>
      </c>
      <c r="I94" t="n" s="5">
        <f>H94</f>
        <v>0.0</v>
      </c>
      <c r="J94" t="n" s="5">
        <f>I94</f>
        <v>0.0</v>
      </c>
      <c r="K94" t="n" s="5">
        <f>J94</f>
        <v>0.0</v>
      </c>
      <c r="L94" t="n" s="5">
        <f>K94</f>
        <v>0.0</v>
      </c>
      <c r="M94" t="n" s="5">
        <f>L94</f>
        <v>0.0</v>
      </c>
    </row>
    <row r="95">
      <c r="A95" t="s" s="3">
        <v>101</v>
      </c>
      <c r="B95" t="n" s="5">
        <f>0.00</f>
        <v>0.0</v>
      </c>
      <c r="C95" t="n" s="5">
        <f>0.00</f>
        <v>0.0</v>
      </c>
      <c r="D95" t="n" s="5">
        <f>C95</f>
        <v>0.0</v>
      </c>
      <c r="E95" t="n" s="5">
        <f>D95</f>
        <v>0.0</v>
      </c>
      <c r="F95" t="n" s="5">
        <f>E95</f>
        <v>0.0</v>
      </c>
      <c r="G95" t="n" s="5">
        <f>F95</f>
        <v>0.0</v>
      </c>
      <c r="H95" t="n" s="5">
        <f>G95</f>
        <v>0.0</v>
      </c>
      <c r="I95" t="n" s="5">
        <f>0.00</f>
        <v>0.0</v>
      </c>
      <c r="J95" t="n" s="5">
        <f>0.00</f>
        <v>0.0</v>
      </c>
      <c r="K95" t="n" s="5">
        <f>J95</f>
        <v>0.0</v>
      </c>
      <c r="L95" t="n" s="5">
        <f>K95</f>
        <v>0.0</v>
      </c>
      <c r="M95" t="n" s="5">
        <f>L95</f>
        <v>0.0</v>
      </c>
    </row>
    <row r="96">
      <c r="A96" t="s" s="3">
        <v>102</v>
      </c>
      <c r="B96" t="n" s="5">
        <f>0.00</f>
        <v>0.0</v>
      </c>
      <c r="C96" t="n" s="5">
        <f>0.00</f>
        <v>0.0</v>
      </c>
      <c r="D96" t="n" s="5">
        <f>0.00</f>
        <v>0.0</v>
      </c>
      <c r="E96" t="n" s="5">
        <f>0.00</f>
        <v>0.0</v>
      </c>
      <c r="F96" t="n" s="5">
        <f>0.00</f>
        <v>0.0</v>
      </c>
      <c r="G96" t="n" s="5">
        <f>0.00</f>
        <v>0.0</v>
      </c>
      <c r="H96" t="n" s="5">
        <f>0.00</f>
        <v>0.0</v>
      </c>
      <c r="I96" t="n" s="5">
        <f>0.00</f>
        <v>0.0</v>
      </c>
      <c r="J96" t="n" s="5">
        <f>0.00</f>
        <v>0.0</v>
      </c>
      <c r="K96" t="n" s="5">
        <f>0.00</f>
        <v>0.0</v>
      </c>
      <c r="L96" t="n" s="5">
        <f>0.00</f>
        <v>0.0</v>
      </c>
      <c r="M96" t="n" s="5">
        <f>0.00</f>
        <v>0.0</v>
      </c>
    </row>
    <row r="97">
      <c r="A97" t="s" s="3">
        <v>103</v>
      </c>
      <c r="B97" t="n" s="5">
        <f>0.00</f>
        <v>0.0</v>
      </c>
      <c r="C97" t="n" s="5">
        <f>B97</f>
        <v>0.0</v>
      </c>
      <c r="D97" t="n" s="5">
        <f>C97</f>
        <v>0.0</v>
      </c>
      <c r="E97" t="n" s="5">
        <f>D97</f>
        <v>0.0</v>
      </c>
      <c r="F97" t="n" s="5">
        <f>E97</f>
        <v>0.0</v>
      </c>
      <c r="G97" t="n" s="5">
        <f>F97</f>
        <v>0.0</v>
      </c>
      <c r="H97" t="n" s="5">
        <f>G97</f>
        <v>0.0</v>
      </c>
      <c r="I97" t="n" s="5">
        <f>H97</f>
        <v>0.0</v>
      </c>
      <c r="J97" t="n" s="5">
        <f>I97</f>
        <v>0.0</v>
      </c>
      <c r="K97" t="n" s="5">
        <f>J97</f>
        <v>0.0</v>
      </c>
      <c r="L97" t="n" s="5">
        <f>K97</f>
        <v>0.0</v>
      </c>
      <c r="M97" t="n" s="5">
        <f>L97</f>
        <v>0.0</v>
      </c>
    </row>
    <row r="98">
      <c r="A98" t="s" s="3">
        <v>104</v>
      </c>
      <c r="B98" t="n" s="5">
        <f>0.00</f>
        <v>0.0</v>
      </c>
      <c r="C98" t="n" s="5">
        <f>B98</f>
        <v>0.0</v>
      </c>
      <c r="D98" t="n" s="5">
        <f>C98</f>
        <v>0.0</v>
      </c>
      <c r="E98" t="n" s="5">
        <f>D98</f>
        <v>0.0</v>
      </c>
      <c r="F98" t="n" s="5">
        <f>E98</f>
        <v>0.0</v>
      </c>
      <c r="G98" t="n" s="5">
        <f>F98</f>
        <v>0.0</v>
      </c>
      <c r="H98" t="n" s="5">
        <f>G98</f>
        <v>0.0</v>
      </c>
      <c r="I98" t="n" s="5">
        <f>H98</f>
        <v>0.0</v>
      </c>
      <c r="J98" t="n" s="5">
        <f>I98</f>
        <v>0.0</v>
      </c>
      <c r="K98" t="n" s="5">
        <f>J98</f>
        <v>0.0</v>
      </c>
      <c r="L98" t="n" s="5">
        <f>K98</f>
        <v>0.0</v>
      </c>
      <c r="M98" t="n" s="5">
        <f>L98</f>
        <v>0.0</v>
      </c>
    </row>
    <row r="99">
      <c r="A99" t="s" s="3">
        <v>105</v>
      </c>
      <c r="B99" t="n" s="6">
        <f>(((((((((((((((B83)+(B84))+(B85))+(B86))+(B87))+(B88))+(B89))+(B90))+(B91))+(B92))+(B93))+(B94))+(B95))+(B96))+(B97))+(B98)</f>
        <v>0.0</v>
      </c>
      <c r="C99" t="n" s="6">
        <f>(((((((((((((((C83)+(C84))+(C85))+(C86))+(C87))+(C88))+(C89))+(C90))+(C91))+(C92))+(C93))+(C94))+(C95))+(C96))+(C97))+(C98)</f>
        <v>0.0</v>
      </c>
      <c r="D99" t="n" s="6">
        <f>(((((((((((((((D83)+(D84))+(D85))+(D86))+(D87))+(D88))+(D89))+(D90))+(D91))+(D92))+(D93))+(D94))+(D95))+(D96))+(D97))+(D98)</f>
        <v>0.0</v>
      </c>
      <c r="E99" t="n" s="6">
        <f>(((((((((((((((E83)+(E84))+(E85))+(E86))+(E87))+(E88))+(E89))+(E90))+(E91))+(E92))+(E93))+(E94))+(E95))+(E96))+(E97))+(E98)</f>
        <v>0.0</v>
      </c>
      <c r="F99" t="n" s="6">
        <f>(((((((((((((((F83)+(F84))+(F85))+(F86))+(F87))+(F88))+(F89))+(F90))+(F91))+(F92))+(F93))+(F94))+(F95))+(F96))+(F97))+(F98)</f>
        <v>0.0</v>
      </c>
      <c r="G99" t="n" s="6">
        <f>(((((((((((((((G83)+(G84))+(G85))+(G86))+(G87))+(G88))+(G89))+(G90))+(G91))+(G92))+(G93))+(G94))+(G95))+(G96))+(G97))+(G98)</f>
        <v>0.0</v>
      </c>
      <c r="H99" t="n" s="6">
        <f>(((((((((((((((H83)+(H84))+(H85))+(H86))+(H87))+(H88))+(H89))+(H90))+(H91))+(H92))+(H93))+(H94))+(H95))+(H96))+(H97))+(H98)</f>
        <v>0.0</v>
      </c>
      <c r="I99" t="n" s="6">
        <f>(((((((((((((((I83)+(I84))+(I85))+(I86))+(I87))+(I88))+(I89))+(I90))+(I91))+(I92))+(I93))+(I94))+(I95))+(I96))+(I97))+(I98)</f>
        <v>0.0</v>
      </c>
      <c r="J99" t="n" s="6">
        <f>(((((((((((((((J83)+(J84))+(J85))+(J86))+(J87))+(J88))+(J89))+(J90))+(J91))+(J92))+(J93))+(J94))+(J95))+(J96))+(J97))+(J98)</f>
        <v>0.0</v>
      </c>
      <c r="K99" t="n" s="6">
        <f>(((((((((((((((K83)+(K84))+(K85))+(K86))+(K87))+(K88))+(K89))+(K90))+(K91))+(K92))+(K93))+(K94))+(K95))+(K96))+(K97))+(K98)</f>
        <v>0.0</v>
      </c>
      <c r="L99" t="n" s="6">
        <f>(((((((((((((((L83)+(L84))+(L85))+(L86))+(L87))+(L88))+(L89))+(L90))+(L91))+(L92))+(L93))+(L94))+(L95))+(L96))+(L97))+(L98)</f>
        <v>0.0</v>
      </c>
      <c r="M99" t="n" s="6">
        <f>(((((((((((((((M83)+(M84))+(M85))+(M86))+(M87))+(M88))+(M89))+(M90))+(M91))+(M92))+(M93))+(M94))+(M95))+(M96))+(M97))+(M98)</f>
        <v>0.0</v>
      </c>
    </row>
    <row r="100">
      <c r="A100" t="s" s="3">
        <v>106</v>
      </c>
      <c r="B100" t="n" s="5">
        <f>9000.00</f>
        <v>0.0</v>
      </c>
      <c r="C100" t="n" s="5">
        <f>B100</f>
        <v>0.0</v>
      </c>
      <c r="D100" t="n" s="5">
        <f>C100</f>
        <v>0.0</v>
      </c>
      <c r="E100" t="n" s="5">
        <f>D100</f>
        <v>0.0</v>
      </c>
      <c r="F100" t="n" s="5">
        <f>E100</f>
        <v>0.0</v>
      </c>
      <c r="G100" t="n" s="5">
        <f>37719.83</f>
        <v>0.0</v>
      </c>
      <c r="H100" t="n" s="5">
        <f>5500.00</f>
        <v>0.0</v>
      </c>
      <c r="I100" t="n" s="5">
        <f>H100</f>
        <v>0.0</v>
      </c>
      <c r="J100" t="n" s="5">
        <f>I100</f>
        <v>0.0</v>
      </c>
      <c r="K100" t="n" s="5">
        <f>J100</f>
        <v>0.0</v>
      </c>
      <c r="L100" t="n" s="5">
        <f>3000.00</f>
        <v>0.0</v>
      </c>
      <c r="M100" t="n" s="5">
        <f>3947.10</f>
        <v>0.0</v>
      </c>
    </row>
    <row r="101">
      <c r="A101" t="s" s="3">
        <v>107</v>
      </c>
      <c r="B101" s="4"/>
      <c r="C101" t="n" s="5">
        <f>B101</f>
        <v>0.0</v>
      </c>
      <c r="D101" t="n" s="5">
        <f>C101</f>
        <v>0.0</v>
      </c>
      <c r="E101" t="n" s="5">
        <f>D101</f>
        <v>0.0</v>
      </c>
      <c r="F101" t="n" s="5">
        <f>E101</f>
        <v>0.0</v>
      </c>
      <c r="G101" t="n" s="5">
        <f>F101</f>
        <v>0.0</v>
      </c>
      <c r="H101" t="n" s="5">
        <f>32219.83</f>
        <v>0.0</v>
      </c>
      <c r="I101" t="n" s="5">
        <f>H101</f>
        <v>0.0</v>
      </c>
      <c r="J101" t="n" s="5">
        <f>I101</f>
        <v>0.0</v>
      </c>
      <c r="K101" t="n" s="5">
        <f>J101</f>
        <v>0.0</v>
      </c>
      <c r="L101" t="n" s="5">
        <f>12545.83</f>
        <v>0.0</v>
      </c>
      <c r="M101" t="n" s="5">
        <f>8145.83</f>
        <v>0.0</v>
      </c>
    </row>
    <row r="102">
      <c r="A102" t="s" s="3">
        <v>108</v>
      </c>
      <c r="B102" t="n" s="5">
        <f>223605.59</f>
        <v>0.0</v>
      </c>
      <c r="C102" t="n" s="5">
        <f>222957.12</f>
        <v>0.0</v>
      </c>
      <c r="D102" t="n" s="5">
        <f>224998.12</f>
        <v>0.0</v>
      </c>
      <c r="E102" t="n" s="5">
        <f>352486.31</f>
        <v>0.0</v>
      </c>
      <c r="F102" t="n" s="5">
        <f>291863.60</f>
        <v>0.0</v>
      </c>
      <c r="G102" t="n" s="5">
        <f>387100.44</f>
        <v>0.0</v>
      </c>
      <c r="H102" t="n" s="5">
        <f>161837.82</f>
        <v>0.0</v>
      </c>
      <c r="I102" t="n" s="5">
        <f>34284.61</f>
        <v>0.0</v>
      </c>
      <c r="J102" t="n" s="5">
        <f>-95833.86</f>
        <v>0.0</v>
      </c>
      <c r="K102" t="n" s="5">
        <f>-6733.86</f>
        <v>0.0</v>
      </c>
      <c r="L102" t="n" s="5">
        <f>-13068.54</f>
        <v>0.0</v>
      </c>
      <c r="M102" t="n" s="5">
        <f>-7629.54</f>
        <v>0.0</v>
      </c>
    </row>
    <row r="103">
      <c r="A103" t="s" s="3">
        <v>109</v>
      </c>
      <c r="B103" t="n" s="6">
        <f>((((((B60)+(B61))+(B82))+(B99))+(B100))+(B101))+(B102)</f>
        <v>0.0</v>
      </c>
      <c r="C103" t="n" s="6">
        <f>((((((C60)+(C61))+(C82))+(C99))+(C100))+(C101))+(C102)</f>
        <v>0.0</v>
      </c>
      <c r="D103" t="n" s="6">
        <f>((((((D60)+(D61))+(D82))+(D99))+(D100))+(D101))+(D102)</f>
        <v>0.0</v>
      </c>
      <c r="E103" t="n" s="6">
        <f>((((((E60)+(E61))+(E82))+(E99))+(E100))+(E101))+(E102)</f>
        <v>0.0</v>
      </c>
      <c r="F103" t="n" s="6">
        <f>((((((F60)+(F61))+(F82))+(F99))+(F100))+(F101))+(F102)</f>
        <v>0.0</v>
      </c>
      <c r="G103" t="n" s="6">
        <f>((((((G60)+(G61))+(G82))+(G99))+(G100))+(G101))+(G102)</f>
        <v>0.0</v>
      </c>
      <c r="H103" t="n" s="6">
        <f>((((((H60)+(H61))+(H82))+(H99))+(H100))+(H101))+(H102)</f>
        <v>0.0</v>
      </c>
      <c r="I103" t="n" s="6">
        <f>((((((I60)+(I61))+(I82))+(I99))+(I100))+(I101))+(I102)</f>
        <v>0.0</v>
      </c>
      <c r="J103" t="n" s="6">
        <f>((((((J60)+(J61))+(J82))+(J99))+(J100))+(J101))+(J102)</f>
        <v>0.0</v>
      </c>
      <c r="K103" t="n" s="6">
        <f>((((((K60)+(K61))+(K82))+(K99))+(K100))+(K101))+(K102)</f>
        <v>0.0</v>
      </c>
      <c r="L103" t="n" s="6">
        <f>((((((L60)+(L61))+(L82))+(L99))+(L100))+(L101))+(L102)</f>
        <v>0.0</v>
      </c>
      <c r="M103" t="n" s="6">
        <f>((((((M60)+(M61))+(M82))+(M99))+(M100))+(M101))+(M102)</f>
        <v>0.0</v>
      </c>
    </row>
    <row r="104">
      <c r="A104" t="s" s="3">
        <v>110</v>
      </c>
      <c r="B104" t="n" s="6">
        <f>(B58)+(B103)</f>
        <v>0.0</v>
      </c>
      <c r="C104" t="n" s="6">
        <f>(C58)+(C103)</f>
        <v>0.0</v>
      </c>
      <c r="D104" t="n" s="6">
        <f>(D58)+(D103)</f>
        <v>0.0</v>
      </c>
      <c r="E104" t="n" s="6">
        <f>(E58)+(E103)</f>
        <v>0.0</v>
      </c>
      <c r="F104" t="n" s="6">
        <f>(F58)+(F103)</f>
        <v>0.0</v>
      </c>
      <c r="G104" t="n" s="6">
        <f>(G58)+(G103)</f>
        <v>0.0</v>
      </c>
      <c r="H104" t="n" s="6">
        <f>(H58)+(H103)</f>
        <v>0.0</v>
      </c>
      <c r="I104" t="n" s="6">
        <f>(I58)+(I103)</f>
        <v>0.0</v>
      </c>
      <c r="J104" t="n" s="6">
        <f>(J58)+(J103)</f>
        <v>0.0</v>
      </c>
      <c r="K104" t="n" s="6">
        <f>(K58)+(K103)</f>
        <v>0.0</v>
      </c>
      <c r="L104" t="n" s="6">
        <f>(L58)+(L103)</f>
        <v>0.0</v>
      </c>
      <c r="M104" t="n" s="6">
        <f>(M58)+(M103)</f>
        <v>0.0</v>
      </c>
    </row>
    <row r="105">
      <c r="A105" t="s" s="3">
        <v>111</v>
      </c>
      <c r="B105" t="n" s="6">
        <f>B104</f>
        <v>0.0</v>
      </c>
      <c r="C105" t="n" s="6">
        <f>C104</f>
        <v>0.0</v>
      </c>
      <c r="D105" t="n" s="6">
        <f>D104</f>
        <v>0.0</v>
      </c>
      <c r="E105" t="n" s="6">
        <f>E104</f>
        <v>0.0</v>
      </c>
      <c r="F105" t="n" s="6">
        <f>F104</f>
        <v>0.0</v>
      </c>
      <c r="G105" t="n" s="6">
        <f>G104</f>
        <v>0.0</v>
      </c>
      <c r="H105" t="n" s="6">
        <f>H104</f>
        <v>0.0</v>
      </c>
      <c r="I105" t="n" s="6">
        <f>I104</f>
        <v>0.0</v>
      </c>
      <c r="J105" t="n" s="6">
        <f>J104</f>
        <v>0.0</v>
      </c>
      <c r="K105" t="n" s="6">
        <f>K104</f>
        <v>0.0</v>
      </c>
      <c r="L105" t="n" s="6">
        <f>L104</f>
        <v>0.0</v>
      </c>
      <c r="M105" t="n" s="6">
        <f>M104</f>
        <v>0.0</v>
      </c>
    </row>
    <row r="106">
      <c r="A106" t="s" s="3">
        <v>112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t="s" s="3">
        <v>113</v>
      </c>
      <c r="B107" t="n" s="5">
        <f>0.00</f>
        <v>0.0</v>
      </c>
      <c r="C107" t="n" s="5">
        <f>B107</f>
        <v>0.0</v>
      </c>
      <c r="D107" t="n" s="5">
        <f>C107</f>
        <v>0.0</v>
      </c>
      <c r="E107" t="n" s="5">
        <f>D107</f>
        <v>0.0</v>
      </c>
      <c r="F107" t="n" s="5">
        <f>E107</f>
        <v>0.0</v>
      </c>
      <c r="G107" t="n" s="5">
        <f>F107</f>
        <v>0.0</v>
      </c>
      <c r="H107" t="n" s="5">
        <f>G107</f>
        <v>0.0</v>
      </c>
      <c r="I107" t="n" s="5">
        <f>H107</f>
        <v>0.0</v>
      </c>
      <c r="J107" t="n" s="5">
        <f>I107</f>
        <v>0.0</v>
      </c>
      <c r="K107" t="n" s="5">
        <f>J107</f>
        <v>0.0</v>
      </c>
      <c r="L107" t="n" s="5">
        <f>K107</f>
        <v>0.0</v>
      </c>
      <c r="M107" t="n" s="5">
        <f>L107</f>
        <v>0.0</v>
      </c>
    </row>
    <row r="108">
      <c r="A108" t="s" s="3">
        <v>114</v>
      </c>
      <c r="B108" t="n" s="5">
        <f>1000.00</f>
        <v>0.0</v>
      </c>
      <c r="C108" t="n" s="5">
        <f>B108</f>
        <v>0.0</v>
      </c>
      <c r="D108" t="n" s="5">
        <f>C108</f>
        <v>0.0</v>
      </c>
      <c r="E108" t="n" s="5">
        <f>D108</f>
        <v>0.0</v>
      </c>
      <c r="F108" t="n" s="5">
        <f>E108</f>
        <v>0.0</v>
      </c>
      <c r="G108" t="n" s="5">
        <f>F108</f>
        <v>0.0</v>
      </c>
      <c r="H108" t="n" s="5">
        <f>G108</f>
        <v>0.0</v>
      </c>
      <c r="I108" t="n" s="5">
        <f>H108</f>
        <v>0.0</v>
      </c>
      <c r="J108" t="n" s="5">
        <f>I108</f>
        <v>0.0</v>
      </c>
      <c r="K108" t="n" s="5">
        <f>J108</f>
        <v>0.0</v>
      </c>
      <c r="L108" t="n" s="5">
        <f>K108</f>
        <v>0.0</v>
      </c>
      <c r="M108" t="n" s="5">
        <f>L108</f>
        <v>0.0</v>
      </c>
    </row>
    <row r="109">
      <c r="A109" t="s" s="3">
        <v>115</v>
      </c>
      <c r="B109" t="n" s="5">
        <f>235484.00</f>
        <v>0.0</v>
      </c>
      <c r="C109" t="n" s="5">
        <f>B109</f>
        <v>0.0</v>
      </c>
      <c r="D109" t="n" s="5">
        <f>C109</f>
        <v>0.0</v>
      </c>
      <c r="E109" t="n" s="5">
        <f>D109</f>
        <v>0.0</v>
      </c>
      <c r="F109" t="n" s="5">
        <f>E109</f>
        <v>0.0</v>
      </c>
      <c r="G109" t="n" s="5">
        <f>F109</f>
        <v>0.0</v>
      </c>
      <c r="H109" t="n" s="5">
        <f>(G109)+(G110)</f>
        <v>0.0</v>
      </c>
      <c r="I109" t="n" s="5">
        <f>H109</f>
        <v>0.0</v>
      </c>
      <c r="J109" t="n" s="5">
        <f>I109</f>
        <v>0.0</v>
      </c>
      <c r="K109" t="n" s="5">
        <f>J109</f>
        <v>0.0</v>
      </c>
      <c r="L109" t="n" s="5">
        <f>K109</f>
        <v>0.0</v>
      </c>
      <c r="M109" t="n" s="5">
        <f>L109</f>
        <v>0.0</v>
      </c>
    </row>
    <row r="110">
      <c r="A110" t="s" s="3">
        <v>116</v>
      </c>
      <c r="B110" t="n" s="5">
        <f>24730.99</f>
        <v>0.0</v>
      </c>
      <c r="C110" t="n" s="5">
        <f>47867.07</f>
        <v>0.0</v>
      </c>
      <c r="D110" t="n" s="5">
        <f>25607.75</f>
        <v>0.0</v>
      </c>
      <c r="E110" t="n" s="5">
        <f>58067.91</f>
        <v>0.0</v>
      </c>
      <c r="F110" t="n" s="5">
        <f>48080.58</f>
        <v>0.0</v>
      </c>
      <c r="G110" t="n" s="5">
        <f>89364.45</f>
        <v>0.0</v>
      </c>
      <c r="H110" t="n" s="5">
        <f>-33802.39</f>
        <v>0.0</v>
      </c>
      <c r="I110" t="n" s="5">
        <f>54888.64</f>
        <v>0.0</v>
      </c>
      <c r="J110" t="n" s="5">
        <f>70499.50</f>
        <v>0.0</v>
      </c>
      <c r="K110" t="n" s="5">
        <f>45579.67</f>
        <v>0.0</v>
      </c>
      <c r="L110" t="n" s="5">
        <f>56689.84</f>
        <v>0.0</v>
      </c>
      <c r="M110" t="n" s="5">
        <f>65049.60</f>
        <v>0.0</v>
      </c>
    </row>
    <row r="111">
      <c r="A111" t="s" s="3">
        <v>117</v>
      </c>
      <c r="B111" t="n" s="6">
        <f>(((B107)+(B108))+(B109))+(B110)</f>
        <v>0.0</v>
      </c>
      <c r="C111" t="n" s="6">
        <f>(((C107)+(C108))+(C109))+(C110)</f>
        <v>0.0</v>
      </c>
      <c r="D111" t="n" s="6">
        <f>(((D107)+(D108))+(D109))+(D110)</f>
        <v>0.0</v>
      </c>
      <c r="E111" t="n" s="6">
        <f>(((E107)+(E108))+(E109))+(E110)</f>
        <v>0.0</v>
      </c>
      <c r="F111" t="n" s="6">
        <f>(((F107)+(F108))+(F109))+(F110)</f>
        <v>0.0</v>
      </c>
      <c r="G111" t="n" s="6">
        <f>(((G107)+(G108))+(G109))+(G110)</f>
        <v>0.0</v>
      </c>
      <c r="H111" t="n" s="6">
        <f>(((H107)+(H108))+(H109))+(H110)</f>
        <v>0.0</v>
      </c>
      <c r="I111" t="n" s="6">
        <f>(((I107)+(I108))+(I109))+(I110)</f>
        <v>0.0</v>
      </c>
      <c r="J111" t="n" s="6">
        <f>(((J107)+(J108))+(J109))+(J110)</f>
        <v>0.0</v>
      </c>
      <c r="K111" t="n" s="6">
        <f>(((K107)+(K108))+(K109))+(K110)</f>
        <v>0.0</v>
      </c>
      <c r="L111" t="n" s="6">
        <f>(((L107)+(L108))+(L109))+(L110)</f>
        <v>0.0</v>
      </c>
      <c r="M111" t="n" s="6">
        <f>(((M107)+(M108))+(M109))+(M110)</f>
        <v>0.0</v>
      </c>
    </row>
    <row r="112">
      <c r="A112" t="s" s="3">
        <v>118</v>
      </c>
      <c r="B112" t="n" s="7">
        <f>(B105)+(B111)</f>
        <v>0.0</v>
      </c>
      <c r="C112" t="n" s="7">
        <f>(C105)+(C111)</f>
        <v>0.0</v>
      </c>
      <c r="D112" t="n" s="7">
        <f>(D105)+(D111)</f>
        <v>0.0</v>
      </c>
      <c r="E112" t="n" s="7">
        <f>(E105)+(E111)</f>
        <v>0.0</v>
      </c>
      <c r="F112" t="n" s="7">
        <f>(F105)+(F111)</f>
        <v>0.0</v>
      </c>
      <c r="G112" t="n" s="7">
        <f>(G105)+(G111)</f>
        <v>0.0</v>
      </c>
      <c r="H112" t="n" s="7">
        <f>(H105)+(H111)</f>
        <v>0.0</v>
      </c>
      <c r="I112" t="n" s="7">
        <f>(I105)+(I111)</f>
        <v>0.0</v>
      </c>
      <c r="J112" t="n" s="7">
        <f>(J105)+(J111)</f>
        <v>0.0</v>
      </c>
      <c r="K112" t="n" s="7">
        <f>(K105)+(K111)</f>
        <v>0.0</v>
      </c>
      <c r="L112" t="n" s="7">
        <f>(L105)+(L111)</f>
        <v>0.0</v>
      </c>
      <c r="M112" t="n" s="7">
        <f>(M105)+(M111)</f>
        <v>0.0</v>
      </c>
    </row>
    <row r="113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6">
      <c r="A116" s="8" t="s">
        <v>119</v>
      </c>
      <c r="B116"/>
      <c r="C116"/>
      <c r="D116"/>
      <c r="E116"/>
      <c r="F116"/>
      <c r="G116"/>
      <c r="H116"/>
      <c r="I116"/>
      <c r="J116"/>
      <c r="K116"/>
      <c r="L116"/>
      <c r="M116"/>
    </row>
  </sheetData>
  <mergeCells count="4">
    <mergeCell ref="A116:M116"/>
    <mergeCell ref="A1:M1"/>
    <mergeCell ref="A2:M2"/>
    <mergeCell ref="A3:M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2025-08-01T08:11:47Z</dcterms:created>
  <dc:creator>Apache POI</dc:creator>
</cp:coreProperties>
</file>