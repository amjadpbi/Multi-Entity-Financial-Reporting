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lance Sheet" r:id="rId3" sheetId="1"/>
  </sheets>
</workbook>
</file>

<file path=xl/sharedStrings.xml><?xml version="1.0" encoding="utf-8"?>
<sst xmlns="http://schemas.openxmlformats.org/spreadsheetml/2006/main" count="113" uniqueCount="113">
  <si>
    <t>Jul 2025</t>
  </si>
  <si>
    <t>ASSETS</t>
  </si>
  <si>
    <t xml:space="preserve">   Current Assets</t>
  </si>
  <si>
    <t xml:space="preserve">      Bank Accounts</t>
  </si>
  <si>
    <t xml:space="preserve">         91000 Perth Clearing Acccount</t>
  </si>
  <si>
    <t xml:space="preserve">         91100 Bank of America Savings - 6745</t>
  </si>
  <si>
    <t xml:space="preserve">         91200 Bank of America Checking - 5640</t>
  </si>
  <si>
    <t xml:space="preserve">         91201 BoA Debit Account - 8086</t>
  </si>
  <si>
    <t xml:space="preserve">         91300 Airwallex USD</t>
  </si>
  <si>
    <t xml:space="preserve">         91400 Petty Cash</t>
  </si>
  <si>
    <t xml:space="preserve">      Total Bank Accounts</t>
  </si>
  <si>
    <t xml:space="preserve">      Accounts Receivable</t>
  </si>
  <si>
    <t xml:space="preserve">         91700 Accounts Receivable</t>
  </si>
  <si>
    <t xml:space="preserve">            91703 Allowance for ECL</t>
  </si>
  <si>
    <t xml:space="preserve">         Total 91700 Accounts Receivable</t>
  </si>
  <si>
    <t xml:space="preserve">         91701 Allowance for Doubtful Accounts</t>
  </si>
  <si>
    <t xml:space="preserve">         91702 Sundry Debtors</t>
  </si>
  <si>
    <t xml:space="preserve">      Total Accounts Receivable</t>
  </si>
  <si>
    <t xml:space="preserve">      Other Current Assets</t>
  </si>
  <si>
    <t xml:space="preserve">         91500 Undeposited Funds</t>
  </si>
  <si>
    <t xml:space="preserve">         91900 Inventory Asset</t>
  </si>
  <si>
    <t xml:space="preserve">            91907 DX-64 Digital Radio</t>
  </si>
  <si>
    <t xml:space="preserve">            91908 Third Party Products</t>
  </si>
  <si>
    <t xml:space="preserve">            91909 Licences - Other</t>
  </si>
  <si>
    <t xml:space="preserve">            91920 Hardware - Omnitronics</t>
  </si>
  <si>
    <t xml:space="preserve">            91950 omnicore</t>
  </si>
  <si>
    <t xml:space="preserve">            91951 omnicore software</t>
  </si>
  <si>
    <t xml:space="preserve">            91999 Items out on loan</t>
  </si>
  <si>
    <t xml:space="preserve">         Total 91900 Inventory Asset</t>
  </si>
  <si>
    <t xml:space="preserve">         91911 Provision for Inventory Write Off</t>
  </si>
  <si>
    <t xml:space="preserve">         92100 EXCHANGE/REPAIR STOCK</t>
  </si>
  <si>
    <t xml:space="preserve">         94500 Prepayments</t>
  </si>
  <si>
    <t xml:space="preserve">         99998 Uncategorized Asset</t>
  </si>
  <si>
    <t xml:space="preserve">      Total Other Current Assets</t>
  </si>
  <si>
    <t xml:space="preserve">   Total Current Assets</t>
  </si>
  <si>
    <t xml:space="preserve">   Fixed Assets</t>
  </si>
  <si>
    <t xml:space="preserve">      91800 Purchase</t>
  </si>
  <si>
    <t xml:space="preserve">      93000 Furniture and Equipment</t>
  </si>
  <si>
    <t xml:space="preserve">      93001 Leasehold Improvements</t>
  </si>
  <si>
    <t xml:space="preserve">      94000 Office Equipment</t>
  </si>
  <si>
    <t xml:space="preserve">      94250 Accumulated Depreciation-Office Equipment</t>
  </si>
  <si>
    <t xml:space="preserve">   Total Fixed Assets</t>
  </si>
  <si>
    <t xml:space="preserve">   Other Assets</t>
  </si>
  <si>
    <t xml:space="preserve">      94501 Deposits Paid</t>
  </si>
  <si>
    <t xml:space="preserve">   Total Other Assets</t>
  </si>
  <si>
    <t>TOTAL ASSETS</t>
  </si>
  <si>
    <t>LIABILITIES AND EQUITY</t>
  </si>
  <si>
    <t xml:space="preserve">   Liabilities</t>
  </si>
  <si>
    <t xml:space="preserve">      Current Liabilities</t>
  </si>
  <si>
    <t xml:space="preserve">         Accounts Payable</t>
  </si>
  <si>
    <t xml:space="preserve">            95300 Accounts Payable</t>
  </si>
  <si>
    <t xml:space="preserve">            95302 Accounts Payable (A/P) - CAD</t>
  </si>
  <si>
    <t xml:space="preserve">            95303 Accounts Payable (A/P) - EUR</t>
  </si>
  <si>
    <t xml:space="preserve">         Total Accounts Payable</t>
  </si>
  <si>
    <t xml:space="preserve">         Other Current Liabilities</t>
  </si>
  <si>
    <t xml:space="preserve">            21105 Revenue in Advance</t>
  </si>
  <si>
    <t xml:space="preserve">            21106 SMA Income in Advance</t>
  </si>
  <si>
    <t xml:space="preserve">            24000 Payroll Liabilities</t>
  </si>
  <si>
    <t xml:space="preserve">               24001 RI Income Tax</t>
  </si>
  <si>
    <t xml:space="preserve">               24002 FL Department of Revenue Payable</t>
  </si>
  <si>
    <t xml:space="preserve">               24003 MS Income Tax</t>
  </si>
  <si>
    <t xml:space="preserve">               24004 MS Unemployment Tax</t>
  </si>
  <si>
    <t xml:space="preserve">               24005 VA Income Tax</t>
  </si>
  <si>
    <t xml:space="preserve">               24007 VA SUI Employer</t>
  </si>
  <si>
    <t xml:space="preserve">               24008 IL Income Tax</t>
  </si>
  <si>
    <t xml:space="preserve">               24009 IL Unemployment Tax</t>
  </si>
  <si>
    <t xml:space="preserve">               24010 LA Income Tax</t>
  </si>
  <si>
    <t xml:space="preserve">               24011 LA Unemployment Tax</t>
  </si>
  <si>
    <t xml:space="preserve">               24050 MetLife</t>
  </si>
  <si>
    <t xml:space="preserve">               24100 Federal payroll liability</t>
  </si>
  <si>
    <t xml:space="preserve">               24200 State SUI Payroll</t>
  </si>
  <si>
    <t xml:space="preserve">               24300 Health Insurance-1</t>
  </si>
  <si>
    <t xml:space="preserve">               24499 Direct Deposit Payable</t>
  </si>
  <si>
    <t xml:space="preserve">               24500 Payroll Accrual</t>
  </si>
  <si>
    <t xml:space="preserve">               24550 Commissions Payable</t>
  </si>
  <si>
    <t xml:space="preserve">               24560 United Healthcare Insurance - Spouse 50%</t>
  </si>
  <si>
    <t xml:space="preserve">               Expensed twice through Airwallex</t>
  </si>
  <si>
    <t xml:space="preserve">               Reimbursement A/W - Renaissance Waterford</t>
  </si>
  <si>
    <t xml:space="preserve">            Total 24000 Payroll Liabilities</t>
  </si>
  <si>
    <t xml:space="preserve">            25500 Sales Tax Payable</t>
  </si>
  <si>
    <t xml:space="preserve">               25501 Florida Department of Revenue Payable</t>
  </si>
  <si>
    <t xml:space="preserve">               25502 Boston Payable</t>
  </si>
  <si>
    <t xml:space="preserve">               25503 NC Department of Revenue Payable</t>
  </si>
  <si>
    <t xml:space="preserve">               25504 Indiana Department of Revenue Payable</t>
  </si>
  <si>
    <t xml:space="preserve">               25505 New York State Department of Tax &amp; Finance Payable</t>
  </si>
  <si>
    <t xml:space="preserve">               25506 Ohio Payable</t>
  </si>
  <si>
    <t xml:space="preserve">               25507 Arkansas Payable</t>
  </si>
  <si>
    <t xml:space="preserve">               25508 State of North Carolina Payable</t>
  </si>
  <si>
    <t xml:space="preserve">               25509 WA Payable</t>
  </si>
  <si>
    <t xml:space="preserve">               25511 California Department of Tax and Fee Administration Payable</t>
  </si>
  <si>
    <t xml:space="preserve">               25512 NEW JERSEY DIVISION OF REVENUE Payable</t>
  </si>
  <si>
    <t xml:space="preserve">               25513 Wyoming Department of Revenue Payable</t>
  </si>
  <si>
    <t xml:space="preserve">               25520 Out Of Scope Agency Payable</t>
  </si>
  <si>
    <t xml:space="preserve">               25530 Sales Tax Agency Payable</t>
  </si>
  <si>
    <t xml:space="preserve">               25540 Reseller Payable</t>
  </si>
  <si>
    <t xml:space="preserve">            Total 25500 Sales Tax Payable</t>
  </si>
  <si>
    <t xml:space="preserve">            25700 Accrued Expenses</t>
  </si>
  <si>
    <t xml:space="preserve">            26000 Income Tax Payable</t>
  </si>
  <si>
    <t xml:space="preserve">            28000 Loan - Omnitronics Australia</t>
  </si>
  <si>
    <t xml:space="preserve">         Total Other Current Liabilities</t>
  </si>
  <si>
    <t xml:space="preserve">      Total Current Liabilities</t>
  </si>
  <si>
    <t xml:space="preserve">   Total Liabilities</t>
  </si>
  <si>
    <t xml:space="preserve">   Equity</t>
  </si>
  <si>
    <t xml:space="preserve">      30000 Opening Balance Equity</t>
  </si>
  <si>
    <t xml:space="preserve">      39000 Capital Stock</t>
  </si>
  <si>
    <t xml:space="preserve">      39200 Retained Earnings</t>
  </si>
  <si>
    <t xml:space="preserve">      Net Income</t>
  </si>
  <si>
    <t xml:space="preserve">   Total Equity</t>
  </si>
  <si>
    <t>TOTAL LIABILITIES AND EQUITY</t>
  </si>
  <si>
    <t>Friday, Aug 01, 2025 01:12:22 AM GMT-7 - Accrual Basis</t>
  </si>
  <si>
    <t>OMNITRONICS, INC.</t>
  </si>
  <si>
    <t>Balance Sheet</t>
  </si>
  <si>
    <t>As of July 31, 2025</t>
  </si>
</sst>
</file>

<file path=xl/styles.xml><?xml version="1.0" encoding="utf-8"?>
<styleSheet xmlns="http://schemas.openxmlformats.org/spreadsheetml/2006/main">
  <numFmts count="2">
    <numFmt numFmtId="164" formatCode="#,##0.00\ _€"/>
    <numFmt numFmtId="165" formatCode="&quot;$&quot;* #,##0.00\ _€"/>
  </numFmts>
  <fonts count="6">
    <font>
      <sz val="11.0"/>
      <color indexed="8"/>
      <name val="Calibri"/>
      <family val="2"/>
      <scheme val="minor"/>
    </font>
    <font>
      <name val="Arial"/>
      <sz val="9.0"/>
      <b val="true"/>
      <color indexed="8"/>
    </font>
    <font>
      <name val="Arial"/>
      <sz val="8.0"/>
      <b val="true"/>
      <color indexed="8"/>
    </font>
    <font>
      <name val="Arial"/>
      <sz val="8.0"/>
      <color indexed="8"/>
    </font>
    <font>
      <name val="Arial"/>
      <sz val="14.0"/>
      <b val="true"/>
      <color indexed="8"/>
    </font>
    <font>
      <name val="Arial"/>
      <sz val="10.0"/>
      <b val="true"/>
      <color indexed="8"/>
    </font>
  </fonts>
  <fills count="2">
    <fill>
      <patternFill patternType="none"/>
    </fill>
    <fill>
      <patternFill patternType="darkGray"/>
    </fill>
  </fills>
  <borders count="4">
    <border>
      <left/>
      <right/>
      <top/>
      <bottom/>
      <diagonal/>
    </border>
    <border>
      <bottom style="thin"/>
    </border>
    <border>
      <top style="thin"/>
    </border>
    <border>
      <top style="thin"/>
      <bottom>
        <color indexed="6"/>
      </bottom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>
      <alignment wrapText="true"/>
    </xf>
    <xf numFmtId="0" fontId="1" fillId="0" borderId="1" xfId="0" applyBorder="true" applyFont="true">
      <alignment wrapText="true" horizontal="center"/>
    </xf>
    <xf numFmtId="0" fontId="2" fillId="0" borderId="0" xfId="0" applyFont="true">
      <alignment wrapText="true" horizontal="left"/>
    </xf>
    <xf numFmtId="164" fontId="3" fillId="0" borderId="0" xfId="0" applyNumberFormat="true" applyFont="true">
      <alignment wrapText="true"/>
    </xf>
    <xf numFmtId="164" fontId="3" fillId="0" borderId="0" xfId="0" applyNumberFormat="true" applyFont="true">
      <alignment wrapText="true" horizontal="right"/>
    </xf>
    <xf numFmtId="165" fontId="2" fillId="0" borderId="2" xfId="0" applyBorder="true" applyNumberFormat="true" applyFont="true">
      <alignment wrapText="true" horizontal="right"/>
    </xf>
    <xf numFmtId="165" fontId="2" fillId="0" borderId="3" xfId="0" applyBorder="true" applyNumberFormat="true" applyFont="true">
      <alignment wrapText="true" horizontal="right"/>
    </xf>
    <xf numFmtId="0" fontId="3" fillId="0" borderId="0" xfId="0" applyFont="true">
      <alignment wrapText="false" horizontal="center"/>
    </xf>
    <xf numFmtId="0" fontId="4" fillId="0" borderId="0" xfId="0" applyFont="true">
      <alignment wrapText="false" horizontal="center"/>
    </xf>
    <xf numFmtId="0" fontId="5" fillId="0" borderId="0" xfId="0" applyFont="true">
      <alignment wrapText="false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17"/>
  <sheetViews>
    <sheetView workbookViewId="0" tabSelected="true"/>
  </sheetViews>
  <sheetFormatPr defaultRowHeight="15.0"/>
  <cols>
    <col min="1" max="1" width="69.609375" customWidth="true"/>
    <col min="2" max="2" width="15.46875" customWidth="true"/>
  </cols>
  <sheetData>
    <row r="1">
      <c r="A1" s="9" t="s">
        <v>110</v>
      </c>
      <c r="B1"/>
    </row>
    <row r="2">
      <c r="A2" s="9" t="s">
        <v>111</v>
      </c>
      <c r="B2"/>
    </row>
    <row r="3">
      <c r="A3" s="10" t="s">
        <v>112</v>
      </c>
      <c r="B3"/>
    </row>
    <row r="5">
      <c r="A5" s="1"/>
      <c r="B5" t="s" s="2">
        <v>0</v>
      </c>
    </row>
    <row r="6">
      <c r="A6" t="s" s="3">
        <v>1</v>
      </c>
      <c r="B6" s="4"/>
    </row>
    <row r="7">
      <c r="A7" t="s" s="3">
        <v>2</v>
      </c>
      <c r="B7" s="4"/>
    </row>
    <row r="8">
      <c r="A8" t="s" s="3">
        <v>3</v>
      </c>
      <c r="B8" s="4"/>
    </row>
    <row r="9">
      <c r="A9" t="s" s="3">
        <v>4</v>
      </c>
      <c r="B9" t="n" s="5">
        <f>0.00</f>
        <v>0.0</v>
      </c>
    </row>
    <row r="10">
      <c r="A10" t="s" s="3">
        <v>5</v>
      </c>
      <c r="B10" t="n" s="5">
        <f>853.92</f>
        <v>0.0</v>
      </c>
    </row>
    <row r="11">
      <c r="A11" t="s" s="3">
        <v>6</v>
      </c>
      <c r="B11" t="n" s="5">
        <f>203872.55</f>
        <v>0.0</v>
      </c>
    </row>
    <row r="12">
      <c r="A12" t="s" s="3">
        <v>7</v>
      </c>
      <c r="B12" t="n" s="5">
        <f>0.00</f>
        <v>0.0</v>
      </c>
    </row>
    <row r="13">
      <c r="A13" t="s" s="3">
        <v>8</v>
      </c>
      <c r="B13" t="n" s="5">
        <f>25787.95</f>
        <v>0.0</v>
      </c>
    </row>
    <row r="14">
      <c r="A14" t="s" s="3">
        <v>9</v>
      </c>
      <c r="B14" t="n" s="5">
        <f>0.00</f>
        <v>0.0</v>
      </c>
    </row>
    <row r="15">
      <c r="A15" t="s" s="3">
        <v>10</v>
      </c>
      <c r="B15" t="n" s="6">
        <f>(((((B9)+(B10))+(B11))+(B12))+(B13))+(B14)</f>
        <v>0.0</v>
      </c>
    </row>
    <row r="16">
      <c r="A16" t="s" s="3">
        <v>11</v>
      </c>
      <c r="B16" s="4"/>
    </row>
    <row r="17">
      <c r="A17" t="s" s="3">
        <v>12</v>
      </c>
      <c r="B17" t="n" s="5">
        <f>216932.20</f>
        <v>0.0</v>
      </c>
    </row>
    <row r="18">
      <c r="A18" t="s" s="3">
        <v>13</v>
      </c>
      <c r="B18" t="n" s="5">
        <f>-4419.23</f>
        <v>0.0</v>
      </c>
    </row>
    <row r="19">
      <c r="A19" t="s" s="3">
        <v>14</v>
      </c>
      <c r="B19" t="n" s="6">
        <f>(B17)+(B18)</f>
        <v>0.0</v>
      </c>
    </row>
    <row r="20">
      <c r="A20" t="s" s="3">
        <v>15</v>
      </c>
      <c r="B20" t="n" s="5">
        <f>0.00</f>
        <v>0.0</v>
      </c>
    </row>
    <row r="21">
      <c r="A21" t="s" s="3">
        <v>16</v>
      </c>
      <c r="B21" t="n" s="5">
        <f>0.00</f>
        <v>0.0</v>
      </c>
    </row>
    <row r="22">
      <c r="A22" t="s" s="3">
        <v>17</v>
      </c>
      <c r="B22" t="n" s="6">
        <f>((B19)+(B20))+(B21)</f>
        <v>0.0</v>
      </c>
    </row>
    <row r="23">
      <c r="A23" t="s" s="3">
        <v>18</v>
      </c>
      <c r="B23" s="4"/>
    </row>
    <row r="24">
      <c r="A24" t="s" s="3">
        <v>19</v>
      </c>
      <c r="B24" t="n" s="5">
        <f>0.00</f>
        <v>0.0</v>
      </c>
    </row>
    <row r="25">
      <c r="A25" t="s" s="3">
        <v>20</v>
      </c>
      <c r="B25" t="n" s="5">
        <f>0.00</f>
        <v>0.0</v>
      </c>
    </row>
    <row r="26">
      <c r="A26" t="s" s="3">
        <v>21</v>
      </c>
      <c r="B26" t="n" s="5">
        <f>0.00</f>
        <v>0.0</v>
      </c>
    </row>
    <row r="27">
      <c r="A27" t="s" s="3">
        <v>22</v>
      </c>
      <c r="B27" t="n" s="5">
        <f>19282.18</f>
        <v>0.0</v>
      </c>
    </row>
    <row r="28">
      <c r="A28" t="s" s="3">
        <v>23</v>
      </c>
      <c r="B28" t="n" s="5">
        <f>0.00</f>
        <v>0.0</v>
      </c>
    </row>
    <row r="29">
      <c r="A29" t="s" s="3">
        <v>24</v>
      </c>
      <c r="B29" t="n" s="5">
        <f>215118.60</f>
        <v>0.0</v>
      </c>
    </row>
    <row r="30">
      <c r="A30" t="s" s="3">
        <v>25</v>
      </c>
      <c r="B30" t="n" s="5">
        <f>0.00</f>
        <v>0.0</v>
      </c>
    </row>
    <row r="31">
      <c r="A31" t="s" s="3">
        <v>26</v>
      </c>
      <c r="B31" t="n" s="5">
        <f>0.00</f>
        <v>0.0</v>
      </c>
    </row>
    <row r="32">
      <c r="A32" t="s" s="3">
        <v>27</v>
      </c>
      <c r="B32" t="n" s="5">
        <f>0.00</f>
        <v>0.0</v>
      </c>
    </row>
    <row r="33">
      <c r="A33" t="s" s="3">
        <v>28</v>
      </c>
      <c r="B33" t="n" s="6">
        <f>(((((((B25)+(B26))+(B27))+(B28))+(B29))+(B30))+(B31))+(B32)</f>
        <v>0.0</v>
      </c>
    </row>
    <row r="34">
      <c r="A34" t="s" s="3">
        <v>29</v>
      </c>
      <c r="B34" t="n" s="5">
        <f>0.00</f>
        <v>0.0</v>
      </c>
    </row>
    <row r="35">
      <c r="A35" t="s" s="3">
        <v>30</v>
      </c>
      <c r="B35" t="n" s="5">
        <f>0.00</f>
        <v>0.0</v>
      </c>
    </row>
    <row r="36">
      <c r="A36" t="s" s="3">
        <v>31</v>
      </c>
      <c r="B36" t="n" s="5">
        <f>10658.03</f>
        <v>0.0</v>
      </c>
    </row>
    <row r="37">
      <c r="A37" t="s" s="3">
        <v>32</v>
      </c>
      <c r="B37" t="n" s="5">
        <f>0.00</f>
        <v>0.0</v>
      </c>
    </row>
    <row r="38">
      <c r="A38" t="s" s="3">
        <v>33</v>
      </c>
      <c r="B38" t="n" s="6">
        <f>(((((B24)+(B33))+(B34))+(B35))+(B36))+(B37)</f>
        <v>0.0</v>
      </c>
    </row>
    <row r="39">
      <c r="A39" t="s" s="3">
        <v>34</v>
      </c>
      <c r="B39" t="n" s="6">
        <f>((B15)+(B22))+(B38)</f>
        <v>0.0</v>
      </c>
    </row>
    <row r="40">
      <c r="A40" t="s" s="3">
        <v>35</v>
      </c>
      <c r="B40" s="4"/>
    </row>
    <row r="41">
      <c r="A41" t="s" s="3">
        <v>36</v>
      </c>
      <c r="B41" t="n" s="5">
        <f>0.00</f>
        <v>0.0</v>
      </c>
    </row>
    <row r="42">
      <c r="A42" t="s" s="3">
        <v>37</v>
      </c>
      <c r="B42" t="n" s="5">
        <f>0.00</f>
        <v>0.0</v>
      </c>
    </row>
    <row r="43">
      <c r="A43" t="s" s="3">
        <v>38</v>
      </c>
      <c r="B43" t="n" s="5">
        <f>0.00</f>
        <v>0.0</v>
      </c>
    </row>
    <row r="44">
      <c r="A44" t="s" s="3">
        <v>39</v>
      </c>
      <c r="B44" t="n" s="5">
        <f>1326.79</f>
        <v>0.0</v>
      </c>
    </row>
    <row r="45">
      <c r="A45" t="s" s="3">
        <v>40</v>
      </c>
      <c r="B45" t="n" s="5">
        <f>-1326.79</f>
        <v>0.0</v>
      </c>
    </row>
    <row r="46">
      <c r="A46" t="s" s="3">
        <v>41</v>
      </c>
      <c r="B46" t="n" s="6">
        <f>((((B41)+(B42))+(B43))+(B44))+(B45)</f>
        <v>0.0</v>
      </c>
    </row>
    <row r="47">
      <c r="A47" t="s" s="3">
        <v>42</v>
      </c>
      <c r="B47" s="4"/>
    </row>
    <row r="48">
      <c r="A48" t="s" s="3">
        <v>43</v>
      </c>
      <c r="B48" t="n" s="5">
        <f>1000.00</f>
        <v>0.0</v>
      </c>
    </row>
    <row r="49">
      <c r="A49" t="s" s="3">
        <v>44</v>
      </c>
      <c r="B49" t="n" s="6">
        <f>B48</f>
        <v>0.0</v>
      </c>
    </row>
    <row r="50">
      <c r="A50" t="s" s="3">
        <v>45</v>
      </c>
      <c r="B50" t="n" s="7">
        <f>((B39)+(B46))+(B49)</f>
        <v>0.0</v>
      </c>
    </row>
    <row r="51">
      <c r="A51" t="s" s="3">
        <v>46</v>
      </c>
      <c r="B51" s="4"/>
    </row>
    <row r="52">
      <c r="A52" t="s" s="3">
        <v>47</v>
      </c>
      <c r="B52" s="4"/>
    </row>
    <row r="53">
      <c r="A53" t="s" s="3">
        <v>48</v>
      </c>
      <c r="B53" s="4"/>
    </row>
    <row r="54">
      <c r="A54" t="s" s="3">
        <v>49</v>
      </c>
      <c r="B54" s="4"/>
    </row>
    <row r="55">
      <c r="A55" t="s" s="3">
        <v>50</v>
      </c>
      <c r="B55" t="n" s="5">
        <f>152716.06</f>
        <v>0.0</v>
      </c>
    </row>
    <row r="56">
      <c r="A56" t="s" s="3">
        <v>51</v>
      </c>
      <c r="B56" t="n" s="5">
        <f>0.00</f>
        <v>0.0</v>
      </c>
    </row>
    <row r="57">
      <c r="A57" t="s" s="3">
        <v>52</v>
      </c>
      <c r="B57" t="n" s="5">
        <f>0.00</f>
        <v>0.0</v>
      </c>
    </row>
    <row r="58">
      <c r="A58" t="s" s="3">
        <v>53</v>
      </c>
      <c r="B58" t="n" s="6">
        <f>((B55)+(B56))+(B57)</f>
        <v>0.0</v>
      </c>
    </row>
    <row r="59">
      <c r="A59" t="s" s="3">
        <v>54</v>
      </c>
      <c r="B59" s="4"/>
    </row>
    <row r="60">
      <c r="A60" t="s" s="3">
        <v>55</v>
      </c>
      <c r="B60" t="n" s="5">
        <f>26092.57</f>
        <v>0.0</v>
      </c>
    </row>
    <row r="61">
      <c r="A61" t="s" s="3">
        <v>56</v>
      </c>
      <c r="B61" t="n" s="5">
        <f>94357.46</f>
        <v>0.0</v>
      </c>
    </row>
    <row r="62">
      <c r="A62" t="s" s="3">
        <v>57</v>
      </c>
      <c r="B62" t="n" s="5">
        <f>10284.71</f>
        <v>0.0</v>
      </c>
    </row>
    <row r="63">
      <c r="A63" t="s" s="3">
        <v>58</v>
      </c>
      <c r="B63" t="n" s="5">
        <f>0.00</f>
        <v>0.0</v>
      </c>
    </row>
    <row r="64">
      <c r="A64" t="s" s="3">
        <v>59</v>
      </c>
      <c r="B64" t="n" s="5">
        <f>0.00</f>
        <v>0.0</v>
      </c>
    </row>
    <row r="65">
      <c r="A65" t="s" s="3">
        <v>60</v>
      </c>
      <c r="B65" t="n" s="5">
        <f>0.00</f>
        <v>0.0</v>
      </c>
    </row>
    <row r="66">
      <c r="A66" t="s" s="3">
        <v>61</v>
      </c>
      <c r="B66" t="n" s="5">
        <f>0.00</f>
        <v>0.0</v>
      </c>
    </row>
    <row r="67">
      <c r="A67" t="s" s="3">
        <v>62</v>
      </c>
      <c r="B67" t="n" s="5">
        <f>0.00</f>
        <v>0.0</v>
      </c>
    </row>
    <row r="68">
      <c r="A68" t="s" s="3">
        <v>63</v>
      </c>
      <c r="B68" t="n" s="5">
        <f>0.00</f>
        <v>0.0</v>
      </c>
    </row>
    <row r="69">
      <c r="A69" t="s" s="3">
        <v>64</v>
      </c>
      <c r="B69" t="n" s="5">
        <f>0.00</f>
        <v>0.0</v>
      </c>
    </row>
    <row r="70">
      <c r="A70" t="s" s="3">
        <v>65</v>
      </c>
      <c r="B70" t="n" s="5">
        <f>0.00</f>
        <v>0.0</v>
      </c>
    </row>
    <row r="71">
      <c r="A71" t="s" s="3">
        <v>66</v>
      </c>
      <c r="B71" t="n" s="5">
        <f>0.00</f>
        <v>0.0</v>
      </c>
    </row>
    <row r="72">
      <c r="A72" t="s" s="3">
        <v>67</v>
      </c>
      <c r="B72" t="n" s="5">
        <f>0.00</f>
        <v>0.0</v>
      </c>
    </row>
    <row r="73">
      <c r="A73" t="s" s="3">
        <v>68</v>
      </c>
      <c r="B73" t="n" s="5">
        <f>0.00</f>
        <v>0.0</v>
      </c>
    </row>
    <row r="74">
      <c r="A74" t="s" s="3">
        <v>69</v>
      </c>
      <c r="B74" t="n" s="5">
        <f>0.00</f>
        <v>0.0</v>
      </c>
    </row>
    <row r="75">
      <c r="A75" t="s" s="3">
        <v>70</v>
      </c>
      <c r="B75" t="n" s="5">
        <f>0.00</f>
        <v>0.0</v>
      </c>
    </row>
    <row r="76">
      <c r="A76" t="s" s="3">
        <v>71</v>
      </c>
      <c r="B76" t="n" s="5">
        <f>0.00</f>
        <v>0.0</v>
      </c>
    </row>
    <row r="77">
      <c r="A77" t="s" s="3">
        <v>72</v>
      </c>
      <c r="B77" t="n" s="5">
        <f>0.00</f>
        <v>0.0</v>
      </c>
    </row>
    <row r="78">
      <c r="A78" t="s" s="3">
        <v>73</v>
      </c>
      <c r="B78" t="n" s="5">
        <f>59735.06</f>
        <v>0.0</v>
      </c>
    </row>
    <row r="79">
      <c r="A79" t="s" s="3">
        <v>74</v>
      </c>
      <c r="B79" t="n" s="5">
        <f>0.00</f>
        <v>0.0</v>
      </c>
    </row>
    <row r="80">
      <c r="A80" t="s" s="3">
        <v>75</v>
      </c>
      <c r="B80" t="n" s="5">
        <f>0.00</f>
        <v>0.0</v>
      </c>
    </row>
    <row r="81">
      <c r="A81" t="s" s="3">
        <v>76</v>
      </c>
      <c r="B81" t="n" s="5">
        <f>0.00</f>
        <v>0.0</v>
      </c>
    </row>
    <row r="82">
      <c r="A82" t="s" s="3">
        <v>77</v>
      </c>
      <c r="B82" t="n" s="5">
        <f>0.00</f>
        <v>0.0</v>
      </c>
    </row>
    <row r="83">
      <c r="A83" t="s" s="3">
        <v>78</v>
      </c>
      <c r="B83" t="n" s="6">
        <f>((((((((((((((((((((B62)+(B63))+(B64))+(B65))+(B66))+(B67))+(B68))+(B69))+(B70))+(B71))+(B72))+(B73))+(B74))+(B75))+(B76))+(B77))+(B78))+(B79))+(B80))+(B81))+(B82)</f>
        <v>0.0</v>
      </c>
    </row>
    <row r="84">
      <c r="A84" t="s" s="3">
        <v>79</v>
      </c>
      <c r="B84" t="n" s="5">
        <f>0.00</f>
        <v>0.0</v>
      </c>
    </row>
    <row r="85">
      <c r="A85" t="s" s="3">
        <v>80</v>
      </c>
      <c r="B85" t="n" s="5">
        <f>0.00</f>
        <v>0.0</v>
      </c>
    </row>
    <row r="86">
      <c r="A86" t="s" s="3">
        <v>81</v>
      </c>
      <c r="B86" t="n" s="5">
        <f>0.00</f>
        <v>0.0</v>
      </c>
    </row>
    <row r="87">
      <c r="A87" t="s" s="3">
        <v>82</v>
      </c>
      <c r="B87" t="n" s="5">
        <f>0.00</f>
        <v>0.0</v>
      </c>
    </row>
    <row r="88">
      <c r="A88" t="s" s="3">
        <v>83</v>
      </c>
      <c r="B88" t="n" s="5">
        <f>5822.11</f>
        <v>0.0</v>
      </c>
    </row>
    <row r="89">
      <c r="A89" t="s" s="3">
        <v>84</v>
      </c>
      <c r="B89" t="n" s="5">
        <f>0.00</f>
        <v>0.0</v>
      </c>
    </row>
    <row r="90">
      <c r="A90" t="s" s="3">
        <v>85</v>
      </c>
      <c r="B90" t="n" s="5">
        <f>0.00</f>
        <v>0.0</v>
      </c>
    </row>
    <row r="91">
      <c r="A91" t="s" s="3">
        <v>86</v>
      </c>
      <c r="B91" t="n" s="5">
        <f>0.00</f>
        <v>0.0</v>
      </c>
    </row>
    <row r="92">
      <c r="A92" t="s" s="3">
        <v>87</v>
      </c>
      <c r="B92" t="n" s="5">
        <f>0.00</f>
        <v>0.0</v>
      </c>
    </row>
    <row r="93">
      <c r="A93" t="s" s="3">
        <v>88</v>
      </c>
      <c r="B93" t="n" s="5">
        <f>1525.29</f>
        <v>0.0</v>
      </c>
    </row>
    <row r="94">
      <c r="A94" t="s" s="3">
        <v>89</v>
      </c>
      <c r="B94" t="n" s="5">
        <f>3389.05</f>
        <v>0.0</v>
      </c>
    </row>
    <row r="95">
      <c r="A95" t="s" s="3">
        <v>90</v>
      </c>
      <c r="B95" t="n" s="5">
        <f>282.36</f>
        <v>0.0</v>
      </c>
    </row>
    <row r="96">
      <c r="A96" t="s" s="3">
        <v>91</v>
      </c>
      <c r="B96" t="n" s="5">
        <f>18.10</f>
        <v>0.0</v>
      </c>
    </row>
    <row r="97">
      <c r="A97" t="s" s="3">
        <v>92</v>
      </c>
      <c r="B97" t="n" s="5">
        <f>0.00</f>
        <v>0.0</v>
      </c>
    </row>
    <row r="98">
      <c r="A98" t="s" s="3">
        <v>93</v>
      </c>
      <c r="B98" t="n" s="5">
        <f>0.00</f>
        <v>0.0</v>
      </c>
    </row>
    <row r="99">
      <c r="A99" t="s" s="3">
        <v>94</v>
      </c>
      <c r="B99" t="n" s="5">
        <f>0.00</f>
        <v>0.0</v>
      </c>
    </row>
    <row r="100">
      <c r="A100" t="s" s="3">
        <v>95</v>
      </c>
      <c r="B100" t="n" s="6">
        <f>(((((((((((((((B84)+(B85))+(B86))+(B87))+(B88))+(B89))+(B90))+(B91))+(B92))+(B93))+(B94))+(B95))+(B96))+(B97))+(B98))+(B99)</f>
        <v>0.0</v>
      </c>
    </row>
    <row r="101">
      <c r="A101" t="s" s="3">
        <v>96</v>
      </c>
      <c r="B101" t="n" s="5">
        <f>3947.10</f>
        <v>0.0</v>
      </c>
    </row>
    <row r="102">
      <c r="A102" t="s" s="3">
        <v>97</v>
      </c>
      <c r="B102" t="n" s="5">
        <f>8145.83</f>
        <v>0.0</v>
      </c>
    </row>
    <row r="103">
      <c r="A103" t="s" s="3">
        <v>98</v>
      </c>
      <c r="B103" t="n" s="5">
        <f>-57629.54</f>
        <v>0.0</v>
      </c>
    </row>
    <row r="104">
      <c r="A104" t="s" s="3">
        <v>99</v>
      </c>
      <c r="B104" t="n" s="6">
        <f>((((((B60)+(B61))+(B83))+(B100))+(B101))+(B102))+(B103)</f>
        <v>0.0</v>
      </c>
    </row>
    <row r="105">
      <c r="A105" t="s" s="3">
        <v>100</v>
      </c>
      <c r="B105" t="n" s="6">
        <f>(B58)+(B104)</f>
        <v>0.0</v>
      </c>
    </row>
    <row r="106">
      <c r="A106" t="s" s="3">
        <v>101</v>
      </c>
      <c r="B106" t="n" s="6">
        <f>B105</f>
        <v>0.0</v>
      </c>
    </row>
    <row r="107">
      <c r="A107" t="s" s="3">
        <v>102</v>
      </c>
      <c r="B107" s="4"/>
    </row>
    <row r="108">
      <c r="A108" t="s" s="3">
        <v>103</v>
      </c>
      <c r="B108" t="n" s="5">
        <f>0.00</f>
        <v>0.0</v>
      </c>
    </row>
    <row r="109">
      <c r="A109" t="s" s="3">
        <v>104</v>
      </c>
      <c r="B109" t="n" s="5">
        <f>1000.00</f>
        <v>0.0</v>
      </c>
    </row>
    <row r="110">
      <c r="A110" t="s" s="3">
        <v>105</v>
      </c>
      <c r="B110" t="n" s="5">
        <f>324848.45</f>
        <v>0.0</v>
      </c>
    </row>
    <row r="111">
      <c r="A111" t="s" s="3">
        <v>106</v>
      </c>
      <c r="B111" t="n" s="5">
        <f>54551.59</f>
        <v>0.0</v>
      </c>
    </row>
    <row r="112">
      <c r="A112" t="s" s="3">
        <v>107</v>
      </c>
      <c r="B112" t="n" s="6">
        <f>(((B108)+(B109))+(B110))+(B111)</f>
        <v>0.0</v>
      </c>
    </row>
    <row r="113">
      <c r="A113" t="s" s="3">
        <v>108</v>
      </c>
      <c r="B113" t="n" s="7">
        <f>(B106)+(B112)</f>
        <v>0.0</v>
      </c>
    </row>
    <row r="114">
      <c r="A114" s="3"/>
      <c r="B114" s="4"/>
    </row>
    <row r="117">
      <c r="A117" s="8" t="s">
        <v>109</v>
      </c>
      <c r="B117"/>
    </row>
  </sheetData>
  <mergeCells count="4">
    <mergeCell ref="A117:B117"/>
    <mergeCell ref="A1:B1"/>
    <mergeCell ref="A2:B2"/>
    <mergeCell ref="A3:B3"/>
  </mergeCells>
  <pageMargins bottom="0.75" footer="0.3" header="0.3" left="0.7" right="0.7" top="0.75"/>
  <headerFooter>
    <oddHeader/>
    <oddFooter/>
  </headerFooter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2025-08-01T08:12:22Z</dcterms:created>
  <dc:creator>Apache POI</dc:creator>
</cp:coreProperties>
</file>