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7bdefeba631d70/Desktop/Financial Report/Raw DATA/Raw Data for Consolidation/USA P^0L/"/>
    </mc:Choice>
  </mc:AlternateContent>
  <xr:revisionPtr revIDLastSave="8" documentId="11_8105EC98B1339BC4273BEF0CA8D698B97C9643EB" xr6:coauthVersionLast="47" xr6:coauthVersionMax="47" xr10:uidLastSave="{5F2E4E52-ED9E-4BFD-B472-5A7D7C1F0E99}"/>
  <bookViews>
    <workbookView xWindow="-108" yWindow="-108" windowWidth="23256" windowHeight="12456" xr2:uid="{00000000-000D-0000-FFFF-FFFF00000000}"/>
  </bookViews>
  <sheets>
    <sheet name="Profit and 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B100" i="1"/>
  <c r="C99" i="1"/>
  <c r="B99" i="1"/>
  <c r="C97" i="1"/>
  <c r="C101" i="1" s="1"/>
  <c r="B97" i="1"/>
  <c r="B101" i="1" s="1"/>
  <c r="C96" i="1"/>
  <c r="B96" i="1"/>
  <c r="C95" i="1"/>
  <c r="B95" i="1"/>
  <c r="C88" i="1"/>
  <c r="B88" i="1"/>
  <c r="C81" i="1"/>
  <c r="B81" i="1"/>
  <c r="C80" i="1"/>
  <c r="B80" i="1"/>
  <c r="C79" i="1"/>
  <c r="B79" i="1"/>
  <c r="C78" i="1"/>
  <c r="B78" i="1"/>
  <c r="B82" i="1" s="1"/>
  <c r="B89" i="1" s="1"/>
  <c r="C77" i="1"/>
  <c r="C82" i="1" s="1"/>
  <c r="C89" i="1" s="1"/>
  <c r="C75" i="1"/>
  <c r="B75" i="1"/>
  <c r="C73" i="1"/>
  <c r="B73" i="1"/>
  <c r="C71" i="1"/>
  <c r="B71" i="1"/>
  <c r="C70" i="1"/>
  <c r="C74" i="1" s="1"/>
  <c r="B70" i="1"/>
  <c r="B74" i="1" s="1"/>
  <c r="C67" i="1"/>
  <c r="B67" i="1"/>
  <c r="C66" i="1"/>
  <c r="B66" i="1"/>
  <c r="C65" i="1"/>
  <c r="B65" i="1"/>
  <c r="C64" i="1"/>
  <c r="C63" i="1"/>
  <c r="B63" i="1"/>
  <c r="B64" i="1" s="1"/>
  <c r="C61" i="1"/>
  <c r="B61" i="1"/>
  <c r="C59" i="1"/>
  <c r="C68" i="1" s="1"/>
  <c r="B59" i="1"/>
  <c r="C56" i="1"/>
  <c r="B56" i="1"/>
  <c r="B52" i="1"/>
  <c r="C51" i="1"/>
  <c r="C50" i="1"/>
  <c r="C52" i="1" s="1"/>
  <c r="C47" i="1"/>
  <c r="B47" i="1"/>
  <c r="C46" i="1"/>
  <c r="B46" i="1"/>
  <c r="C45" i="1"/>
  <c r="B45" i="1"/>
  <c r="B48" i="1" s="1"/>
  <c r="C44" i="1"/>
  <c r="C48" i="1" s="1"/>
  <c r="B44" i="1"/>
  <c r="C42" i="1"/>
  <c r="B41" i="1"/>
  <c r="C40" i="1"/>
  <c r="B40" i="1"/>
  <c r="C39" i="1"/>
  <c r="B39" i="1"/>
  <c r="C38" i="1"/>
  <c r="B38" i="1"/>
  <c r="C37" i="1"/>
  <c r="B37" i="1"/>
  <c r="C34" i="1"/>
  <c r="C36" i="1" s="1"/>
  <c r="B34" i="1"/>
  <c r="B36" i="1" s="1"/>
  <c r="C28" i="1"/>
  <c r="B28" i="1"/>
  <c r="C27" i="1"/>
  <c r="B27" i="1"/>
  <c r="B23" i="1"/>
  <c r="C22" i="1"/>
  <c r="B22" i="1"/>
  <c r="B21" i="1"/>
  <c r="C20" i="1"/>
  <c r="B20" i="1"/>
  <c r="C19" i="1"/>
  <c r="C24" i="1" s="1"/>
  <c r="C29" i="1" s="1"/>
  <c r="B18" i="1"/>
  <c r="B24" i="1" s="1"/>
  <c r="B29" i="1" s="1"/>
  <c r="B14" i="1"/>
  <c r="C12" i="1"/>
  <c r="B12" i="1"/>
  <c r="C11" i="1"/>
  <c r="B11" i="1"/>
  <c r="B10" i="1"/>
  <c r="B9" i="1"/>
  <c r="C8" i="1"/>
  <c r="B8" i="1"/>
  <c r="B15" i="1" s="1"/>
  <c r="B16" i="1" s="1"/>
  <c r="B30" i="1" s="1"/>
  <c r="C7" i="1"/>
  <c r="C15" i="1" s="1"/>
  <c r="C16" i="1" s="1"/>
  <c r="B7" i="1"/>
  <c r="C91" i="1" l="1"/>
  <c r="B68" i="1"/>
  <c r="B91" i="1"/>
  <c r="B92" i="1" s="1"/>
  <c r="B102" i="1" s="1"/>
  <c r="C30" i="1"/>
  <c r="C92" i="1" s="1"/>
  <c r="C102" i="1" s="1"/>
</calcChain>
</file>

<file path=xl/sharedStrings.xml><?xml version="1.0" encoding="utf-8"?>
<sst xmlns="http://schemas.openxmlformats.org/spreadsheetml/2006/main" count="103" uniqueCount="103">
  <si>
    <t>Jul 2025</t>
  </si>
  <si>
    <t>OMNITRONICS, INC.</t>
  </si>
  <si>
    <t>Aug 2025</t>
  </si>
  <si>
    <t>Profit and Loss</t>
  </si>
  <si>
    <t>January 1 - September 15, 2025</t>
  </si>
  <si>
    <t>Income</t>
  </si>
  <si>
    <t xml:space="preserve">   10000 Sales</t>
  </si>
  <si>
    <t xml:space="preserve">      10008 Support &amp; Maintenance</t>
  </si>
  <si>
    <t xml:space="preserve">      10009 Project Services</t>
  </si>
  <si>
    <t xml:space="preserve">      10010 Other Licences_Software</t>
  </si>
  <si>
    <t xml:space="preserve">      10019 Third Party Product Sales</t>
  </si>
  <si>
    <t xml:space="preserve">      10020 Hardware Sales</t>
  </si>
  <si>
    <t xml:space="preserve">      10030 Development</t>
  </si>
  <si>
    <t xml:space="preserve">      10050 omnicore Software_Licences</t>
  </si>
  <si>
    <t xml:space="preserve">   Total 10000 Sales</t>
  </si>
  <si>
    <t>Total Income</t>
  </si>
  <si>
    <t>Cost of Goods Sold</t>
  </si>
  <si>
    <t xml:space="preserve">   40001 Cost of Goods Sold</t>
  </si>
  <si>
    <t xml:space="preserve">      40009 Project Services</t>
  </si>
  <si>
    <t xml:space="preserve">      40020 Hardware COGS</t>
  </si>
  <si>
    <t xml:space="preserve">      40050 omnicore Software_Licence COGS</t>
  </si>
  <si>
    <t xml:space="preserve">      41008 Third Party Products</t>
  </si>
  <si>
    <t xml:space="preserve">      41010 Other Licences</t>
  </si>
  <si>
    <t xml:space="preserve">   Total 40001 Cost of Goods Sold</t>
  </si>
  <si>
    <t xml:space="preserve">   41090 Inventory Shrinkage</t>
  </si>
  <si>
    <t xml:space="preserve">   41091 Inventory Damage/ Loss</t>
  </si>
  <si>
    <t xml:space="preserve">   41100 Freight charges</t>
  </si>
  <si>
    <t xml:space="preserve">   45000 Support Services</t>
  </si>
  <si>
    <t>Total Cost of Goods Sold</t>
  </si>
  <si>
    <t>Gross Profit</t>
  </si>
  <si>
    <t>Expenses</t>
  </si>
  <si>
    <t xml:space="preserve">   60000 Marketing</t>
  </si>
  <si>
    <t xml:space="preserve">      60010 Advertising &amp; Promotions</t>
  </si>
  <si>
    <t xml:space="preserve">      60020 Trade Shows</t>
  </si>
  <si>
    <t xml:space="preserve">      60025 Printing &amp; Merchandise</t>
  </si>
  <si>
    <t xml:space="preserve">   Total 60000 Marketing</t>
  </si>
  <si>
    <t xml:space="preserve">   60400 Bank Service Charges</t>
  </si>
  <si>
    <t xml:space="preserve">      60401 Merchant Account Fees</t>
  </si>
  <si>
    <t xml:space="preserve">   Total 60400 Bank Service Charges</t>
  </si>
  <si>
    <t xml:space="preserve">   61800 Software Expense</t>
  </si>
  <si>
    <t xml:space="preserve">   62400 Depreciation Expense</t>
  </si>
  <si>
    <t xml:space="preserve">   62500 Dues and Subscriptions</t>
  </si>
  <si>
    <t xml:space="preserve">   63300 Insurance Expense</t>
  </si>
  <si>
    <t xml:space="preserve">      63310 General Liability Insurance</t>
  </si>
  <si>
    <t xml:space="preserve">      63320 Motor Vehicle Insurance</t>
  </si>
  <si>
    <t xml:space="preserve">      63360 Worker's Compensation</t>
  </si>
  <si>
    <t xml:space="preserve">      63370 Property Insurance</t>
  </si>
  <si>
    <t xml:space="preserve">   Total 63300 Insurance Expense</t>
  </si>
  <si>
    <t xml:space="preserve">   64500 Entertainment</t>
  </si>
  <si>
    <t xml:space="preserve">      64510 Client Entertainment - Local</t>
  </si>
  <si>
    <t xml:space="preserve">      64520 Staff Entertainment-100% Dedu</t>
  </si>
  <si>
    <t xml:space="preserve">   Total 64500 Entertainment</t>
  </si>
  <si>
    <t xml:space="preserve">   64700 Miscellaneous Expense</t>
  </si>
  <si>
    <t xml:space="preserve">   65000 Taxes Paid</t>
  </si>
  <si>
    <t xml:space="preserve">      65050 Federal Corporate Tax</t>
  </si>
  <si>
    <t xml:space="preserve">   Total 65000 Taxes Paid</t>
  </si>
  <si>
    <t xml:space="preserve">   66700 Professional Fees</t>
  </si>
  <si>
    <t xml:space="preserve">   66800 Payroll Related Expenses</t>
  </si>
  <si>
    <t xml:space="preserve">      66801 Salaries &amp; Wages</t>
  </si>
  <si>
    <t xml:space="preserve">      66802 Bonus</t>
  </si>
  <si>
    <t xml:space="preserve">      66806 Commissions Paid</t>
  </si>
  <si>
    <t xml:space="preserve">      66820 Payroll Taxes</t>
  </si>
  <si>
    <t xml:space="preserve">         66840 Federal Payroll Taxes</t>
  </si>
  <si>
    <t xml:space="preserve">      Total 66820 Payroll Taxes</t>
  </si>
  <si>
    <t xml:space="preserve">      66850 Health Insurance</t>
  </si>
  <si>
    <t xml:space="preserve">      66860 Vacation expense accrued</t>
  </si>
  <si>
    <t xml:space="preserve">      66899 Payroll Clearing Account</t>
  </si>
  <si>
    <t xml:space="preserve">   Total 66800 Payroll Related Expenses</t>
  </si>
  <si>
    <t xml:space="preserve">   67100 Office Expenses</t>
  </si>
  <si>
    <t xml:space="preserve">      67105 Office Rental</t>
  </si>
  <si>
    <t xml:space="preserve">      67110 Stationery &amp; Office Consumables</t>
  </si>
  <si>
    <t xml:space="preserve">      67120 Postage and Delivery</t>
  </si>
  <si>
    <t xml:space="preserve">      67500 Telephone/Communication Expense</t>
  </si>
  <si>
    <t xml:space="preserve">   Total 67100 Office Expenses</t>
  </si>
  <si>
    <t xml:space="preserve">   68200 US Warehouse &amp; Logistics</t>
  </si>
  <si>
    <t xml:space="preserve">   68400 Travel</t>
  </si>
  <si>
    <t xml:space="preserve">      68405 Travel - Business Development</t>
  </si>
  <si>
    <t xml:space="preserve">         68410 Accommodation - Business Development</t>
  </si>
  <si>
    <t xml:space="preserve">         68415 Flights - Business Development</t>
  </si>
  <si>
    <t xml:space="preserve">         68420 Meals and Entertainment - Business Development</t>
  </si>
  <si>
    <t xml:space="preserve">         68450 Taxis &amp; Car Rental - Business Development</t>
  </si>
  <si>
    <t xml:space="preserve">      Total 68405 Travel - Business Development</t>
  </si>
  <si>
    <t xml:space="preserve">      68460 Trade Shows Travel</t>
  </si>
  <si>
    <t xml:space="preserve">         68465 Flights - Trade Shows</t>
  </si>
  <si>
    <t xml:space="preserve">         68470 Accommodation - Trade Shows</t>
  </si>
  <si>
    <t xml:space="preserve">         68472 Meals &amp; Entertainment - Trade Shows</t>
  </si>
  <si>
    <t xml:space="preserve">         68475 Taxis &amp; Car Rental - Trade Shows</t>
  </si>
  <si>
    <t xml:space="preserve">      Total 68460 Trade Shows Travel</t>
  </si>
  <si>
    <t xml:space="preserve">   Total 68400 Travel</t>
  </si>
  <si>
    <t xml:space="preserve">   69900 Sales &amp; Marketing Services-Recovery</t>
  </si>
  <si>
    <t>Total Expenses</t>
  </si>
  <si>
    <t>Net Operating Income</t>
  </si>
  <si>
    <t>Other Income</t>
  </si>
  <si>
    <t xml:space="preserve">   70000 Finance Charge Income</t>
  </si>
  <si>
    <t xml:space="preserve">   70200 Interest Income</t>
  </si>
  <si>
    <t xml:space="preserve">   70220 Other Income</t>
  </si>
  <si>
    <t>Total Other Income</t>
  </si>
  <si>
    <t>Other Expenses</t>
  </si>
  <si>
    <t xml:space="preserve">   Unrealized Gain or Loss</t>
  </si>
  <si>
    <t>Total Other Expenses</t>
  </si>
  <si>
    <t>Net Other Income</t>
  </si>
  <si>
    <t>Net Income</t>
  </si>
  <si>
    <t>Monday, Sep 15, 2025 11:11:06 PM GMT-7 - Accrual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</si>
</sst>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Aptos Narrow"/>
      <family val="2"/>
      <scheme val="minor"/>
    </font>
    <font>
      <b/>
      <sz val="9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F57C5B-8137-4273-B9B1-B350FBEC465E}">
  <we:reference id="wa200004935" version="6.0.0.0" store="en-US" storeType="OMEX"/>
  <we:alternateReferences>
    <we:reference id="WA200004935" version="6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abSelected="1" workbookViewId="0">
      <selection sqref="A1:XFD1048576"/>
    </sheetView>
  </sheetViews>
  <sheetFormatPr defaultRowHeight="14.4" x14ac:dyDescent="0.3"/>
  <cols>
    <col min="1" max="1" width="53.33203125" customWidth="1"/>
    <col min="2" max="3" width="11.21875" customWidth="1"/>
  </cols>
  <sheetData>
    <row r="1" spans="1:3" ht="17.399999999999999" x14ac:dyDescent="0.3">
      <c r="A1" s="7" t="s">
        <v>1</v>
      </c>
      <c r="B1" s="8"/>
      <c r="C1" s="8"/>
    </row>
    <row r="2" spans="1:3" ht="17.399999999999999" x14ac:dyDescent="0.3">
      <c r="A2" s="7" t="s">
        <v>3</v>
      </c>
      <c r="B2" s="8"/>
      <c r="C2" s="8"/>
    </row>
    <row r="3" spans="1:3" x14ac:dyDescent="0.3">
      <c r="A3" s="9" t="s">
        <v>4</v>
      </c>
      <c r="B3" s="8"/>
      <c r="C3" s="8"/>
    </row>
    <row r="5" spans="1:3" x14ac:dyDescent="0.3">
      <c r="A5" s="1"/>
      <c r="B5" s="2" t="s">
        <v>0</v>
      </c>
      <c r="C5" s="2" t="s">
        <v>2</v>
      </c>
    </row>
    <row r="6" spans="1:3" x14ac:dyDescent="0.3">
      <c r="A6" s="3" t="s">
        <v>5</v>
      </c>
      <c r="B6" s="4"/>
      <c r="C6" s="4"/>
    </row>
    <row r="7" spans="1:3" x14ac:dyDescent="0.3">
      <c r="A7" s="3" t="s">
        <v>6</v>
      </c>
      <c r="B7" s="5">
        <f>0</f>
        <v>0</v>
      </c>
      <c r="C7" s="5">
        <f>0</f>
        <v>0</v>
      </c>
    </row>
    <row r="8" spans="1:3" x14ac:dyDescent="0.3">
      <c r="A8" s="3" t="s">
        <v>7</v>
      </c>
      <c r="B8" s="5">
        <f>8711.8</f>
        <v>8711.7999999999993</v>
      </c>
      <c r="C8" s="5">
        <f>12789.1</f>
        <v>12789.1</v>
      </c>
    </row>
    <row r="9" spans="1:3" x14ac:dyDescent="0.3">
      <c r="A9" s="3" t="s">
        <v>8</v>
      </c>
      <c r="B9" s="5">
        <f>4200</f>
        <v>4200</v>
      </c>
      <c r="C9" s="4"/>
    </row>
    <row r="10" spans="1:3" x14ac:dyDescent="0.3">
      <c r="A10" s="3" t="s">
        <v>9</v>
      </c>
      <c r="B10" s="5">
        <f>2437.5</f>
        <v>2437.5</v>
      </c>
      <c r="C10" s="4"/>
    </row>
    <row r="11" spans="1:3" x14ac:dyDescent="0.3">
      <c r="A11" s="3" t="s">
        <v>10</v>
      </c>
      <c r="B11" s="5">
        <f>1674.4</f>
        <v>1674.4</v>
      </c>
      <c r="C11" s="5">
        <f>2927.5</f>
        <v>2927.5</v>
      </c>
    </row>
    <row r="12" spans="1:3" x14ac:dyDescent="0.3">
      <c r="A12" s="3" t="s">
        <v>11</v>
      </c>
      <c r="B12" s="5">
        <f>21517.45</f>
        <v>21517.45</v>
      </c>
      <c r="C12" s="5">
        <f>7147.45</f>
        <v>7147.45</v>
      </c>
    </row>
    <row r="13" spans="1:3" x14ac:dyDescent="0.3">
      <c r="A13" s="3" t="s">
        <v>12</v>
      </c>
      <c r="B13" s="4"/>
      <c r="C13" s="4"/>
    </row>
    <row r="14" spans="1:3" x14ac:dyDescent="0.3">
      <c r="A14" s="3" t="s">
        <v>13</v>
      </c>
      <c r="B14" s="5">
        <f>5362.5</f>
        <v>5362.5</v>
      </c>
      <c r="C14" s="4"/>
    </row>
    <row r="15" spans="1:3" x14ac:dyDescent="0.3">
      <c r="A15" s="3" t="s">
        <v>14</v>
      </c>
      <c r="B15" s="6">
        <f t="shared" ref="B15:C15" si="0">(((((((B7)+(B8))+(B9))+(B10))+(B11))+(B12))+(B13))+(B14)</f>
        <v>43903.65</v>
      </c>
      <c r="C15" s="6">
        <f t="shared" si="0"/>
        <v>22864.05</v>
      </c>
    </row>
    <row r="16" spans="1:3" x14ac:dyDescent="0.3">
      <c r="A16" s="3" t="s">
        <v>15</v>
      </c>
      <c r="B16" s="6">
        <f t="shared" ref="B16:C16" si="1">B15</f>
        <v>43903.65</v>
      </c>
      <c r="C16" s="6">
        <f t="shared" si="1"/>
        <v>22864.05</v>
      </c>
    </row>
    <row r="17" spans="1:3" x14ac:dyDescent="0.3">
      <c r="A17" s="3" t="s">
        <v>16</v>
      </c>
      <c r="B17" s="4"/>
      <c r="C17" s="4"/>
    </row>
    <row r="18" spans="1:3" x14ac:dyDescent="0.3">
      <c r="A18" s="3" t="s">
        <v>17</v>
      </c>
      <c r="B18" s="5">
        <f>0</f>
        <v>0</v>
      </c>
      <c r="C18" s="4"/>
    </row>
    <row r="19" spans="1:3" x14ac:dyDescent="0.3">
      <c r="A19" s="3" t="s">
        <v>18</v>
      </c>
      <c r="B19" s="4"/>
      <c r="C19" s="5">
        <f>864.5</f>
        <v>864.5</v>
      </c>
    </row>
    <row r="20" spans="1:3" x14ac:dyDescent="0.3">
      <c r="A20" s="3" t="s">
        <v>19</v>
      </c>
      <c r="B20" s="5">
        <f>11802.92</f>
        <v>11802.92</v>
      </c>
      <c r="C20" s="5">
        <f>7289.31</f>
        <v>7289.31</v>
      </c>
    </row>
    <row r="21" spans="1:3" x14ac:dyDescent="0.3">
      <c r="A21" s="3" t="s">
        <v>20</v>
      </c>
      <c r="B21" s="5">
        <f>4485</f>
        <v>4485</v>
      </c>
      <c r="C21" s="4"/>
    </row>
    <row r="22" spans="1:3" x14ac:dyDescent="0.3">
      <c r="A22" s="3" t="s">
        <v>21</v>
      </c>
      <c r="B22" s="5">
        <f>1050.58</f>
        <v>1050.58</v>
      </c>
      <c r="C22" s="5">
        <f>1404.2</f>
        <v>1404.2</v>
      </c>
    </row>
    <row r="23" spans="1:3" x14ac:dyDescent="0.3">
      <c r="A23" s="3" t="s">
        <v>22</v>
      </c>
      <c r="B23" s="5">
        <f>1725</f>
        <v>1725</v>
      </c>
      <c r="C23" s="4"/>
    </row>
    <row r="24" spans="1:3" x14ac:dyDescent="0.3">
      <c r="A24" s="3" t="s">
        <v>23</v>
      </c>
      <c r="B24" s="6">
        <f t="shared" ref="B24:C24" si="2">(((((B18)+(B19))+(B20))+(B21))+(B22))+(B23)</f>
        <v>19063.5</v>
      </c>
      <c r="C24" s="6">
        <f t="shared" si="2"/>
        <v>9558.01</v>
      </c>
    </row>
    <row r="25" spans="1:3" x14ac:dyDescent="0.3">
      <c r="A25" s="3" t="s">
        <v>24</v>
      </c>
      <c r="B25" s="4"/>
      <c r="C25" s="4"/>
    </row>
    <row r="26" spans="1:3" x14ac:dyDescent="0.3">
      <c r="A26" s="3" t="s">
        <v>25</v>
      </c>
      <c r="B26" s="4"/>
      <c r="C26" s="4"/>
    </row>
    <row r="27" spans="1:3" x14ac:dyDescent="0.3">
      <c r="A27" s="3" t="s">
        <v>26</v>
      </c>
      <c r="B27" s="5">
        <f>-189.09</f>
        <v>-189.09</v>
      </c>
      <c r="C27" s="5">
        <f>478.65</f>
        <v>478.65</v>
      </c>
    </row>
    <row r="28" spans="1:3" x14ac:dyDescent="0.3">
      <c r="A28" s="3" t="s">
        <v>27</v>
      </c>
      <c r="B28" s="5">
        <f>5970.55</f>
        <v>5970.55</v>
      </c>
      <c r="C28" s="5">
        <f>112.42</f>
        <v>112.42</v>
      </c>
    </row>
    <row r="29" spans="1:3" x14ac:dyDescent="0.3">
      <c r="A29" s="3" t="s">
        <v>28</v>
      </c>
      <c r="B29" s="6">
        <f t="shared" ref="B29:C29" si="3">((((B24)+(B25))+(B26))+(B27))+(B28)</f>
        <v>24844.959999999999</v>
      </c>
      <c r="C29" s="6">
        <f t="shared" si="3"/>
        <v>10149.08</v>
      </c>
    </row>
    <row r="30" spans="1:3" x14ac:dyDescent="0.3">
      <c r="A30" s="3" t="s">
        <v>29</v>
      </c>
      <c r="B30" s="6">
        <f t="shared" ref="B30:C30" si="4">(B16)-(B29)</f>
        <v>19058.690000000002</v>
      </c>
      <c r="C30" s="6">
        <f t="shared" si="4"/>
        <v>12714.97</v>
      </c>
    </row>
    <row r="31" spans="1:3" x14ac:dyDescent="0.3">
      <c r="A31" s="3" t="s">
        <v>30</v>
      </c>
      <c r="B31" s="4"/>
      <c r="C31" s="4"/>
    </row>
    <row r="32" spans="1:3" x14ac:dyDescent="0.3">
      <c r="A32" s="3" t="s">
        <v>31</v>
      </c>
      <c r="B32" s="4"/>
      <c r="C32" s="4"/>
    </row>
    <row r="33" spans="1:3" x14ac:dyDescent="0.3">
      <c r="A33" s="3" t="s">
        <v>32</v>
      </c>
      <c r="B33" s="4"/>
      <c r="C33" s="4"/>
    </row>
    <row r="34" spans="1:3" x14ac:dyDescent="0.3">
      <c r="A34" s="3" t="s">
        <v>33</v>
      </c>
      <c r="B34" s="5">
        <f>2445</f>
        <v>2445</v>
      </c>
      <c r="C34" s="5">
        <f>5905</f>
        <v>5905</v>
      </c>
    </row>
    <row r="35" spans="1:3" x14ac:dyDescent="0.3">
      <c r="A35" s="3" t="s">
        <v>34</v>
      </c>
      <c r="B35" s="4"/>
      <c r="C35" s="4"/>
    </row>
    <row r="36" spans="1:3" x14ac:dyDescent="0.3">
      <c r="A36" s="3" t="s">
        <v>35</v>
      </c>
      <c r="B36" s="6">
        <f t="shared" ref="B36:C36" si="5">(((B32)+(B33))+(B34))+(B35)</f>
        <v>2445</v>
      </c>
      <c r="C36" s="6">
        <f t="shared" si="5"/>
        <v>5905</v>
      </c>
    </row>
    <row r="37" spans="1:3" x14ac:dyDescent="0.3">
      <c r="A37" s="3" t="s">
        <v>36</v>
      </c>
      <c r="B37" s="5">
        <f>-150.32</f>
        <v>-150.32</v>
      </c>
      <c r="C37" s="5">
        <f>-104.75</f>
        <v>-104.75</v>
      </c>
    </row>
    <row r="38" spans="1:3" x14ac:dyDescent="0.3">
      <c r="A38" s="3" t="s">
        <v>37</v>
      </c>
      <c r="B38" s="5">
        <f>25</f>
        <v>25</v>
      </c>
      <c r="C38" s="5">
        <f>20</f>
        <v>20</v>
      </c>
    </row>
    <row r="39" spans="1:3" x14ac:dyDescent="0.3">
      <c r="A39" s="3" t="s">
        <v>38</v>
      </c>
      <c r="B39" s="6">
        <f t="shared" ref="B39:C39" si="6">(B37)+(B38)</f>
        <v>-125.32</v>
      </c>
      <c r="C39" s="6">
        <f t="shared" si="6"/>
        <v>-84.75</v>
      </c>
    </row>
    <row r="40" spans="1:3" x14ac:dyDescent="0.3">
      <c r="A40" s="3" t="s">
        <v>39</v>
      </c>
      <c r="B40" s="5">
        <f>259</f>
        <v>259</v>
      </c>
      <c r="C40" s="5">
        <f>259</f>
        <v>259</v>
      </c>
    </row>
    <row r="41" spans="1:3" x14ac:dyDescent="0.3">
      <c r="A41" s="3" t="s">
        <v>40</v>
      </c>
      <c r="B41" s="5">
        <f>552.87</f>
        <v>552.87</v>
      </c>
      <c r="C41" s="4"/>
    </row>
    <row r="42" spans="1:3" x14ac:dyDescent="0.3">
      <c r="A42" s="3" t="s">
        <v>41</v>
      </c>
      <c r="B42" s="4"/>
      <c r="C42" s="5">
        <f>183.33</f>
        <v>183.33</v>
      </c>
    </row>
    <row r="43" spans="1:3" x14ac:dyDescent="0.3">
      <c r="A43" s="3" t="s">
        <v>42</v>
      </c>
      <c r="B43" s="4"/>
      <c r="C43" s="4"/>
    </row>
    <row r="44" spans="1:3" x14ac:dyDescent="0.3">
      <c r="A44" s="3" t="s">
        <v>43</v>
      </c>
      <c r="B44" s="5">
        <f>362.25</f>
        <v>362.25</v>
      </c>
      <c r="C44" s="5">
        <f>362.25</f>
        <v>362.25</v>
      </c>
    </row>
    <row r="45" spans="1:3" x14ac:dyDescent="0.3">
      <c r="A45" s="3" t="s">
        <v>44</v>
      </c>
      <c r="B45" s="5">
        <f>94.33</f>
        <v>94.33</v>
      </c>
      <c r="C45" s="5">
        <f>94.33</f>
        <v>94.33</v>
      </c>
    </row>
    <row r="46" spans="1:3" x14ac:dyDescent="0.3">
      <c r="A46" s="3" t="s">
        <v>45</v>
      </c>
      <c r="B46" s="5">
        <f>197.08</f>
        <v>197.08</v>
      </c>
      <c r="C46" s="5">
        <f>197.08</f>
        <v>197.08</v>
      </c>
    </row>
    <row r="47" spans="1:3" x14ac:dyDescent="0.3">
      <c r="A47" s="3" t="s">
        <v>46</v>
      </c>
      <c r="B47" s="5">
        <f>131.93</f>
        <v>131.93</v>
      </c>
      <c r="C47" s="5">
        <f>131.93</f>
        <v>131.93</v>
      </c>
    </row>
    <row r="48" spans="1:3" x14ac:dyDescent="0.3">
      <c r="A48" s="3" t="s">
        <v>47</v>
      </c>
      <c r="B48" s="6">
        <f t="shared" ref="B48:C48" si="7">((((B43)+(B44))+(B45))+(B46))+(B47)</f>
        <v>785.58999999999992</v>
      </c>
      <c r="C48" s="6">
        <f t="shared" si="7"/>
        <v>785.58999999999992</v>
      </c>
    </row>
    <row r="49" spans="1:3" x14ac:dyDescent="0.3">
      <c r="A49" s="3" t="s">
        <v>48</v>
      </c>
      <c r="B49" s="4"/>
      <c r="C49" s="4"/>
    </row>
    <row r="50" spans="1:3" x14ac:dyDescent="0.3">
      <c r="A50" s="3" t="s">
        <v>49</v>
      </c>
      <c r="B50" s="4"/>
      <c r="C50" s="5">
        <f>89.29</f>
        <v>89.29</v>
      </c>
    </row>
    <row r="51" spans="1:3" x14ac:dyDescent="0.3">
      <c r="A51" s="3" t="s">
        <v>50</v>
      </c>
      <c r="B51" s="4"/>
      <c r="C51" s="5">
        <f>89.29</f>
        <v>89.29</v>
      </c>
    </row>
    <row r="52" spans="1:3" x14ac:dyDescent="0.3">
      <c r="A52" s="3" t="s">
        <v>51</v>
      </c>
      <c r="B52" s="6">
        <f t="shared" ref="B52:C52" si="8">((B49)+(B50))+(B51)</f>
        <v>0</v>
      </c>
      <c r="C52" s="6">
        <f t="shared" si="8"/>
        <v>178.58</v>
      </c>
    </row>
    <row r="53" spans="1:3" x14ac:dyDescent="0.3">
      <c r="A53" s="3" t="s">
        <v>52</v>
      </c>
      <c r="B53" s="4"/>
      <c r="C53" s="4"/>
    </row>
    <row r="54" spans="1:3" x14ac:dyDescent="0.3">
      <c r="A54" s="3" t="s">
        <v>53</v>
      </c>
      <c r="B54" s="4"/>
      <c r="C54" s="4"/>
    </row>
    <row r="55" spans="1:3" x14ac:dyDescent="0.3">
      <c r="A55" s="3" t="s">
        <v>54</v>
      </c>
      <c r="B55" s="4"/>
      <c r="C55" s="4"/>
    </row>
    <row r="56" spans="1:3" x14ac:dyDescent="0.3">
      <c r="A56" s="3" t="s">
        <v>55</v>
      </c>
      <c r="B56" s="6">
        <f t="shared" ref="B56:C56" si="9">(B54)+(B55)</f>
        <v>0</v>
      </c>
      <c r="C56" s="6">
        <f t="shared" si="9"/>
        <v>0</v>
      </c>
    </row>
    <row r="57" spans="1:3" x14ac:dyDescent="0.3">
      <c r="A57" s="3" t="s">
        <v>56</v>
      </c>
      <c r="B57" s="4"/>
      <c r="C57" s="4"/>
    </row>
    <row r="58" spans="1:3" x14ac:dyDescent="0.3">
      <c r="A58" s="3" t="s">
        <v>57</v>
      </c>
      <c r="B58" s="4"/>
      <c r="C58" s="4"/>
    </row>
    <row r="59" spans="1:3" x14ac:dyDescent="0.3">
      <c r="A59" s="3" t="s">
        <v>58</v>
      </c>
      <c r="B59" s="5">
        <f>18855.44</f>
        <v>18855.439999999999</v>
      </c>
      <c r="C59" s="5">
        <f>22055.98</f>
        <v>22055.98</v>
      </c>
    </row>
    <row r="60" spans="1:3" x14ac:dyDescent="0.3">
      <c r="A60" s="3" t="s">
        <v>59</v>
      </c>
      <c r="B60" s="4"/>
      <c r="C60" s="4"/>
    </row>
    <row r="61" spans="1:3" x14ac:dyDescent="0.3">
      <c r="A61" s="3" t="s">
        <v>60</v>
      </c>
      <c r="B61" s="5">
        <f>585.05</f>
        <v>585.04999999999995</v>
      </c>
      <c r="C61" s="5">
        <f>64.85</f>
        <v>64.849999999999994</v>
      </c>
    </row>
    <row r="62" spans="1:3" x14ac:dyDescent="0.3">
      <c r="A62" s="3" t="s">
        <v>61</v>
      </c>
      <c r="B62" s="4"/>
      <c r="C62" s="4"/>
    </row>
    <row r="63" spans="1:3" x14ac:dyDescent="0.3">
      <c r="A63" s="3" t="s">
        <v>62</v>
      </c>
      <c r="B63" s="5">
        <f>1733.7</f>
        <v>1733.7</v>
      </c>
      <c r="C63" s="5">
        <f>1674.81</f>
        <v>1674.81</v>
      </c>
    </row>
    <row r="64" spans="1:3" x14ac:dyDescent="0.3">
      <c r="A64" s="3" t="s">
        <v>63</v>
      </c>
      <c r="B64" s="6">
        <f t="shared" ref="B64:C64" si="10">(B62)+(B63)</f>
        <v>1733.7</v>
      </c>
      <c r="C64" s="6">
        <f t="shared" si="10"/>
        <v>1674.81</v>
      </c>
    </row>
    <row r="65" spans="1:3" x14ac:dyDescent="0.3">
      <c r="A65" s="3" t="s">
        <v>64</v>
      </c>
      <c r="B65" s="5">
        <f>2943.48</f>
        <v>2943.48</v>
      </c>
      <c r="C65" s="5">
        <f>2943.48</f>
        <v>2943.48</v>
      </c>
    </row>
    <row r="66" spans="1:3" x14ac:dyDescent="0.3">
      <c r="A66" s="3" t="s">
        <v>65</v>
      </c>
      <c r="B66" s="5">
        <f>1796.79</f>
        <v>1796.79</v>
      </c>
      <c r="C66" s="5">
        <f>1179.09</f>
        <v>1179.0899999999999</v>
      </c>
    </row>
    <row r="67" spans="1:3" x14ac:dyDescent="0.3">
      <c r="A67" s="3" t="s">
        <v>66</v>
      </c>
      <c r="B67" s="5">
        <f>0</f>
        <v>0</v>
      </c>
      <c r="C67" s="5">
        <f>546.96</f>
        <v>546.96</v>
      </c>
    </row>
    <row r="68" spans="1:3" x14ac:dyDescent="0.3">
      <c r="A68" s="3" t="s">
        <v>67</v>
      </c>
      <c r="B68" s="6">
        <f t="shared" ref="B68:C68" si="11">(((((((B58)+(B59))+(B60))+(B61))+(B64))+(B65))+(B66))+(B67)</f>
        <v>25914.46</v>
      </c>
      <c r="C68" s="6">
        <f t="shared" si="11"/>
        <v>28465.17</v>
      </c>
    </row>
    <row r="69" spans="1:3" x14ac:dyDescent="0.3">
      <c r="A69" s="3" t="s">
        <v>68</v>
      </c>
      <c r="B69" s="4"/>
      <c r="C69" s="4"/>
    </row>
    <row r="70" spans="1:3" x14ac:dyDescent="0.3">
      <c r="A70" s="3" t="s">
        <v>69</v>
      </c>
      <c r="B70" s="5">
        <f t="shared" ref="B70:C70" si="12">244.63</f>
        <v>244.63</v>
      </c>
      <c r="C70" s="5">
        <f t="shared" si="12"/>
        <v>244.63</v>
      </c>
    </row>
    <row r="71" spans="1:3" x14ac:dyDescent="0.3">
      <c r="A71" s="3" t="s">
        <v>70</v>
      </c>
      <c r="B71" s="5">
        <f>33.6</f>
        <v>33.6</v>
      </c>
      <c r="C71" s="5">
        <f>15.43</f>
        <v>15.43</v>
      </c>
    </row>
    <row r="72" spans="1:3" x14ac:dyDescent="0.3">
      <c r="A72" s="3" t="s">
        <v>71</v>
      </c>
      <c r="B72" s="4"/>
      <c r="C72" s="4"/>
    </row>
    <row r="73" spans="1:3" x14ac:dyDescent="0.3">
      <c r="A73" s="3" t="s">
        <v>72</v>
      </c>
      <c r="B73" s="5">
        <f>824.89</f>
        <v>824.89</v>
      </c>
      <c r="C73" s="5">
        <f>116.4</f>
        <v>116.4</v>
      </c>
    </row>
    <row r="74" spans="1:3" x14ac:dyDescent="0.3">
      <c r="A74" s="3" t="s">
        <v>73</v>
      </c>
      <c r="B74" s="6">
        <f t="shared" ref="B74:C74" si="13">((((B69)+(B70))+(B71))+(B72))+(B73)</f>
        <v>1103.1199999999999</v>
      </c>
      <c r="C74" s="6">
        <f t="shared" si="13"/>
        <v>376.46000000000004</v>
      </c>
    </row>
    <row r="75" spans="1:3" x14ac:dyDescent="0.3">
      <c r="A75" s="3" t="s">
        <v>74</v>
      </c>
      <c r="B75" s="5">
        <f>332.55</f>
        <v>332.55</v>
      </c>
      <c r="C75" s="5">
        <f>620.6</f>
        <v>620.6</v>
      </c>
    </row>
    <row r="76" spans="1:3" x14ac:dyDescent="0.3">
      <c r="A76" s="3" t="s">
        <v>75</v>
      </c>
      <c r="B76" s="4"/>
      <c r="C76" s="4"/>
    </row>
    <row r="77" spans="1:3" x14ac:dyDescent="0.3">
      <c r="A77" s="3" t="s">
        <v>76</v>
      </c>
      <c r="B77" s="4"/>
      <c r="C77" s="5">
        <f>80.08</f>
        <v>80.08</v>
      </c>
    </row>
    <row r="78" spans="1:3" x14ac:dyDescent="0.3">
      <c r="A78" s="3" t="s">
        <v>77</v>
      </c>
      <c r="B78" s="5">
        <f>-1085.92</f>
        <v>-1085.92</v>
      </c>
      <c r="C78" s="5">
        <f>1652.82</f>
        <v>1652.82</v>
      </c>
    </row>
    <row r="79" spans="1:3" x14ac:dyDescent="0.3">
      <c r="A79" s="3" t="s">
        <v>78</v>
      </c>
      <c r="B79" s="5">
        <f>6744.6</f>
        <v>6744.6</v>
      </c>
      <c r="C79" s="5">
        <f>718.76</f>
        <v>718.76</v>
      </c>
    </row>
    <row r="80" spans="1:3" x14ac:dyDescent="0.3">
      <c r="A80" s="3" t="s">
        <v>79</v>
      </c>
      <c r="B80" s="5">
        <f>743.43</f>
        <v>743.43</v>
      </c>
      <c r="C80" s="5">
        <f>1369.44</f>
        <v>1369.44</v>
      </c>
    </row>
    <row r="81" spans="1:3" x14ac:dyDescent="0.3">
      <c r="A81" s="3" t="s">
        <v>80</v>
      </c>
      <c r="B81" s="5">
        <f>1934.9</f>
        <v>1934.9</v>
      </c>
      <c r="C81" s="5">
        <f>667.73</f>
        <v>667.73</v>
      </c>
    </row>
    <row r="82" spans="1:3" x14ac:dyDescent="0.3">
      <c r="A82" s="3" t="s">
        <v>81</v>
      </c>
      <c r="B82" s="6">
        <f t="shared" ref="B82:C82" si="14">((((B77)+(B78))+(B79))+(B80))+(B81)</f>
        <v>8337.01</v>
      </c>
      <c r="C82" s="6">
        <f t="shared" si="14"/>
        <v>4488.83</v>
      </c>
    </row>
    <row r="83" spans="1:3" x14ac:dyDescent="0.3">
      <c r="A83" s="3" t="s">
        <v>82</v>
      </c>
      <c r="B83" s="4"/>
      <c r="C83" s="4"/>
    </row>
    <row r="84" spans="1:3" x14ac:dyDescent="0.3">
      <c r="A84" s="3" t="s">
        <v>83</v>
      </c>
      <c r="B84" s="4"/>
      <c r="C84" s="4"/>
    </row>
    <row r="85" spans="1:3" x14ac:dyDescent="0.3">
      <c r="A85" s="3" t="s">
        <v>84</v>
      </c>
      <c r="B85" s="4"/>
      <c r="C85" s="4"/>
    </row>
    <row r="86" spans="1:3" x14ac:dyDescent="0.3">
      <c r="A86" s="3" t="s">
        <v>85</v>
      </c>
      <c r="B86" s="4"/>
      <c r="C86" s="4"/>
    </row>
    <row r="87" spans="1:3" x14ac:dyDescent="0.3">
      <c r="A87" s="3" t="s">
        <v>86</v>
      </c>
      <c r="B87" s="4"/>
      <c r="C87" s="4"/>
    </row>
    <row r="88" spans="1:3" x14ac:dyDescent="0.3">
      <c r="A88" s="3" t="s">
        <v>87</v>
      </c>
      <c r="B88" s="6">
        <f t="shared" ref="B88:C88" si="15">((((B83)+(B84))+(B85))+(B86))+(B87)</f>
        <v>0</v>
      </c>
      <c r="C88" s="6">
        <f t="shared" si="15"/>
        <v>0</v>
      </c>
    </row>
    <row r="89" spans="1:3" x14ac:dyDescent="0.3">
      <c r="A89" s="3" t="s">
        <v>88</v>
      </c>
      <c r="B89" s="6">
        <f t="shared" ref="B89:C89" si="16">((B76)+(B82))+(B88)</f>
        <v>8337.01</v>
      </c>
      <c r="C89" s="6">
        <f t="shared" si="16"/>
        <v>4488.83</v>
      </c>
    </row>
    <row r="90" spans="1:3" x14ac:dyDescent="0.3">
      <c r="A90" s="3" t="s">
        <v>89</v>
      </c>
      <c r="B90" s="4"/>
      <c r="C90" s="4"/>
    </row>
    <row r="91" spans="1:3" x14ac:dyDescent="0.3">
      <c r="A91" s="3" t="s">
        <v>90</v>
      </c>
      <c r="B91" s="6">
        <f t="shared" ref="B91:C91" si="17">((((((((((((((B36)+(B39))+(B40))+(B41))+(B42))+(B48))+(B52))+(B53))+(B56))+(B57))+(B68))+(B74))+(B75))+(B89))+(B90)</f>
        <v>39604.28</v>
      </c>
      <c r="C91" s="6">
        <f t="shared" si="17"/>
        <v>41177.81</v>
      </c>
    </row>
    <row r="92" spans="1:3" x14ac:dyDescent="0.3">
      <c r="A92" s="3" t="s">
        <v>91</v>
      </c>
      <c r="B92" s="6">
        <f t="shared" ref="B92:C92" si="18">(B30)-(B91)</f>
        <v>-20545.589999999997</v>
      </c>
      <c r="C92" s="6">
        <f t="shared" si="18"/>
        <v>-28462.839999999997</v>
      </c>
    </row>
    <row r="93" spans="1:3" x14ac:dyDescent="0.3">
      <c r="A93" s="3" t="s">
        <v>92</v>
      </c>
      <c r="B93" s="4"/>
      <c r="C93" s="4"/>
    </row>
    <row r="94" spans="1:3" x14ac:dyDescent="0.3">
      <c r="A94" s="3" t="s">
        <v>93</v>
      </c>
      <c r="B94" s="4"/>
      <c r="C94" s="4"/>
    </row>
    <row r="95" spans="1:3" x14ac:dyDescent="0.3">
      <c r="A95" s="3" t="s">
        <v>94</v>
      </c>
      <c r="B95" s="5">
        <f t="shared" ref="B95:C95" si="19">0.01</f>
        <v>0.01</v>
      </c>
      <c r="C95" s="5">
        <f t="shared" si="19"/>
        <v>0.01</v>
      </c>
    </row>
    <row r="96" spans="1:3" x14ac:dyDescent="0.3">
      <c r="A96" s="3" t="s">
        <v>95</v>
      </c>
      <c r="B96" s="5">
        <f>16.19</f>
        <v>16.190000000000001</v>
      </c>
      <c r="C96" s="5">
        <f>426.17</f>
        <v>426.17</v>
      </c>
    </row>
    <row r="97" spans="1:3" x14ac:dyDescent="0.3">
      <c r="A97" s="3" t="s">
        <v>96</v>
      </c>
      <c r="B97" s="6">
        <f t="shared" ref="B97:C97" si="20">((B94)+(B95))+(B96)</f>
        <v>16.200000000000003</v>
      </c>
      <c r="C97" s="6">
        <f t="shared" si="20"/>
        <v>426.18</v>
      </c>
    </row>
    <row r="98" spans="1:3" x14ac:dyDescent="0.3">
      <c r="A98" s="3" t="s">
        <v>97</v>
      </c>
      <c r="B98" s="4"/>
      <c r="C98" s="4"/>
    </row>
    <row r="99" spans="1:3" x14ac:dyDescent="0.3">
      <c r="A99" s="3" t="s">
        <v>98</v>
      </c>
      <c r="B99" s="5">
        <f>0</f>
        <v>0</v>
      </c>
      <c r="C99" s="5">
        <f>0</f>
        <v>0</v>
      </c>
    </row>
    <row r="100" spans="1:3" x14ac:dyDescent="0.3">
      <c r="A100" s="3" t="s">
        <v>99</v>
      </c>
      <c r="B100" s="6">
        <f t="shared" ref="B100:C100" si="21">B99</f>
        <v>0</v>
      </c>
      <c r="C100" s="6">
        <f t="shared" si="21"/>
        <v>0</v>
      </c>
    </row>
    <row r="101" spans="1:3" x14ac:dyDescent="0.3">
      <c r="A101" s="3" t="s">
        <v>100</v>
      </c>
      <c r="B101" s="6">
        <f t="shared" ref="B101:C101" si="22">(B97)-(B100)</f>
        <v>16.200000000000003</v>
      </c>
      <c r="C101" s="6">
        <f t="shared" si="22"/>
        <v>426.18</v>
      </c>
    </row>
    <row r="102" spans="1:3" x14ac:dyDescent="0.3">
      <c r="A102" s="3" t="s">
        <v>101</v>
      </c>
      <c r="B102" s="6">
        <f t="shared" ref="B102:C102" si="23">(B92)+(B101)</f>
        <v>-20529.389999999996</v>
      </c>
      <c r="C102" s="6">
        <f t="shared" si="23"/>
        <v>-28036.659999999996</v>
      </c>
    </row>
    <row r="103" spans="1:3" x14ac:dyDescent="0.3">
      <c r="A103" s="3"/>
      <c r="B103" s="4"/>
      <c r="C103" s="4"/>
    </row>
    <row r="106" spans="1:3" x14ac:dyDescent="0.3">
      <c r="A106" s="10" t="s">
        <v>102</v>
      </c>
      <c r="B106" s="8"/>
      <c r="C106" s="8"/>
    </row>
  </sheetData>
  <mergeCells count="4">
    <mergeCell ref="A1:C1"/>
    <mergeCell ref="A2:C2"/>
    <mergeCell ref="A3:C3"/>
    <mergeCell ref="A106:C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Abid Maqsood</cp:lastModifiedBy>
  <dcterms:created xsi:type="dcterms:W3CDTF">2025-08-01T08:10:08Z</dcterms:created>
  <dcterms:modified xsi:type="dcterms:W3CDTF">2025-09-27T10:15:05Z</dcterms:modified>
</cp:coreProperties>
</file>